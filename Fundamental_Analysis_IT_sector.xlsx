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Project\sayali_25PGDMFM052\"/>
    </mc:Choice>
  </mc:AlternateContent>
  <xr:revisionPtr revIDLastSave="0" documentId="13_ncr:1_{1CF8C069-0DC3-404A-9E99-5668789ECB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2" l="1"/>
  <c r="C9" i="2"/>
  <c r="C8" i="2"/>
  <c r="C7" i="2"/>
  <c r="C6" i="2"/>
  <c r="C5" i="2"/>
  <c r="D4" i="2"/>
  <c r="C4" i="2" s="1"/>
  <c r="D3" i="2"/>
  <c r="I14" i="1"/>
  <c r="X13" i="1"/>
  <c r="V13" i="1"/>
  <c r="L13" i="1"/>
  <c r="I13" i="1"/>
  <c r="E13" i="1"/>
  <c r="X12" i="1"/>
  <c r="V12" i="1"/>
  <c r="L12" i="1"/>
  <c r="I12" i="1"/>
  <c r="E12" i="1"/>
  <c r="X11" i="1"/>
  <c r="V11" i="1"/>
  <c r="L11" i="1"/>
  <c r="I11" i="1"/>
  <c r="E11" i="1"/>
  <c r="X10" i="1"/>
  <c r="V10" i="1"/>
  <c r="L10" i="1"/>
  <c r="I10" i="1"/>
  <c r="E10" i="1"/>
  <c r="X9" i="1"/>
  <c r="V9" i="1"/>
  <c r="L9" i="1"/>
  <c r="I9" i="1"/>
  <c r="E9" i="1"/>
  <c r="X8" i="1"/>
  <c r="V8" i="1"/>
  <c r="L8" i="1"/>
  <c r="I8" i="1"/>
  <c r="E8" i="1"/>
  <c r="X7" i="1"/>
  <c r="V7" i="1"/>
  <c r="L7" i="1"/>
  <c r="I7" i="1"/>
  <c r="E7" i="1"/>
  <c r="X6" i="1"/>
  <c r="V6" i="1"/>
  <c r="L6" i="1"/>
  <c r="I6" i="1"/>
  <c r="E6" i="1"/>
  <c r="X5" i="1"/>
  <c r="V5" i="1"/>
  <c r="L5" i="1"/>
  <c r="I5" i="1"/>
  <c r="E5" i="1"/>
  <c r="X4" i="1"/>
  <c r="V4" i="1"/>
  <c r="L4" i="1"/>
  <c r="I4" i="1"/>
  <c r="E4" i="1"/>
  <c r="Z3" i="1"/>
  <c r="X3" i="1"/>
  <c r="V3" i="1"/>
  <c r="L3" i="1"/>
  <c r="I3" i="1"/>
  <c r="E3" i="1"/>
  <c r="G10" i="2" l="1"/>
  <c r="F10" i="2"/>
  <c r="E10" i="2"/>
  <c r="G9" i="2"/>
  <c r="E9" i="2"/>
  <c r="F9" i="2"/>
  <c r="F8" i="2"/>
  <c r="G8" i="2"/>
  <c r="E8" i="2"/>
  <c r="F7" i="2"/>
  <c r="E7" i="2"/>
  <c r="G7" i="2"/>
  <c r="G6" i="2"/>
  <c r="F6" i="2"/>
  <c r="E6" i="2"/>
  <c r="F5" i="2"/>
  <c r="E5" i="2"/>
  <c r="G5" i="2"/>
  <c r="E4" i="2"/>
  <c r="F4" i="2"/>
  <c r="G4" i="2"/>
  <c r="D11" i="2"/>
  <c r="H13" i="2" s="1"/>
  <c r="C3" i="2"/>
  <c r="M13" i="1"/>
  <c r="M12" i="1"/>
  <c r="Z13" i="1" s="1"/>
  <c r="M11" i="1"/>
  <c r="Z12" i="1" s="1"/>
  <c r="F11" i="1"/>
  <c r="M10" i="1"/>
  <c r="Z11" i="1" s="1"/>
  <c r="F10" i="1"/>
  <c r="M9" i="1"/>
  <c r="Z10" i="1" s="1"/>
  <c r="F9" i="1"/>
  <c r="M8" i="1"/>
  <c r="Z9" i="1" s="1"/>
  <c r="F8" i="1"/>
  <c r="F7" i="1"/>
  <c r="M7" i="1"/>
  <c r="Z8" i="1" s="1"/>
  <c r="F6" i="1"/>
  <c r="M6" i="1"/>
  <c r="Z7" i="1" s="1"/>
  <c r="M5" i="1"/>
  <c r="Z6" i="1" s="1"/>
  <c r="M4" i="1"/>
  <c r="Z5" i="1" s="1"/>
  <c r="E14" i="1"/>
  <c r="M3" i="1"/>
  <c r="Z4" i="1" s="1"/>
  <c r="F3" i="1"/>
  <c r="F3" i="2" l="1"/>
  <c r="F11" i="2" s="1"/>
  <c r="F13" i="2" s="1"/>
  <c r="E3" i="2"/>
  <c r="E11" i="2" s="1"/>
  <c r="E13" i="2" s="1"/>
  <c r="G3" i="2"/>
  <c r="G11" i="2" s="1"/>
  <c r="G13" i="2" s="1"/>
  <c r="C11" i="2"/>
  <c r="F13" i="1"/>
  <c r="F5" i="1"/>
  <c r="F4" i="1"/>
  <c r="F12" i="1"/>
</calcChain>
</file>

<file path=xl/sharedStrings.xml><?xml version="1.0" encoding="utf-8"?>
<sst xmlns="http://schemas.openxmlformats.org/spreadsheetml/2006/main" count="67" uniqueCount="44">
  <si>
    <t>Company</t>
  </si>
  <si>
    <t>Last Price</t>
  </si>
  <si>
    <t>Market Cap (Rs. cr)</t>
  </si>
  <si>
    <t>PE Ratio</t>
  </si>
  <si>
    <t>Valuation</t>
  </si>
  <si>
    <t>FY25 Revenue</t>
  </si>
  <si>
    <t>FY26 Revenue</t>
  </si>
  <si>
    <t>Rev Growth</t>
  </si>
  <si>
    <t>FY25 Net Profit</t>
  </si>
  <si>
    <t>FY26 Net Profit</t>
  </si>
  <si>
    <t>YoY Growth</t>
  </si>
  <si>
    <t>PEG Ratio</t>
  </si>
  <si>
    <t>EBIT MARGIN</t>
  </si>
  <si>
    <t>Rank</t>
  </si>
  <si>
    <t>ROE</t>
  </si>
  <si>
    <t>EPS Growth</t>
  </si>
  <si>
    <t>FCF Yeild</t>
  </si>
  <si>
    <t>total rank</t>
  </si>
  <si>
    <t>final ranking</t>
  </si>
  <si>
    <t>Growth+Value</t>
  </si>
  <si>
    <t>TCS</t>
  </si>
  <si>
    <t>Infosys</t>
  </si>
  <si>
    <t>HCL Tech</t>
  </si>
  <si>
    <t>Oracle Fin Serv (OFSS)</t>
  </si>
  <si>
    <t>Wipro</t>
  </si>
  <si>
    <t>Tech Mahindra</t>
  </si>
  <si>
    <t>LTM (LTIMindtree)</t>
  </si>
  <si>
    <t>Coforge</t>
  </si>
  <si>
    <t>Persistent Systems</t>
  </si>
  <si>
    <t>Hexaware Technologies</t>
  </si>
  <si>
    <t>Mphasis</t>
  </si>
  <si>
    <t>SECTOR TOTAL</t>
  </si>
  <si>
    <t>1,22,578</t>
  </si>
  <si>
    <t>1,28,758</t>
  </si>
  <si>
    <t>Asset Under Management</t>
  </si>
  <si>
    <t xml:space="preserve">Value+Growth </t>
  </si>
  <si>
    <t>price</t>
  </si>
  <si>
    <t>no of share</t>
  </si>
  <si>
    <t>asset allocation</t>
  </si>
  <si>
    <t>23/6/26</t>
  </si>
  <si>
    <t>24/6/26</t>
  </si>
  <si>
    <t>25/6/26</t>
  </si>
  <si>
    <t>26/6/26</t>
  </si>
  <si>
    <t>NAV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</si>
</sst>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0000"/>
    <numFmt numFmtId="165" formatCode="0.000000000%"/>
    <numFmt numFmtId="166" formatCode="0.00000000000000"/>
    <numFmt numFmtId="167" formatCode="#,##0.00;\(#,##0.00\)"/>
  </numFmts>
  <fonts count="7" x14ac:knownFonts="1">
    <font>
      <sz val="10"/>
      <color rgb="FF000000"/>
      <name val="Arial"/>
      <scheme val="minor"/>
    </font>
    <font>
      <b/>
      <sz val="12"/>
      <color rgb="FFFFFFFF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rgb="FF375623"/>
      <name val="Times New Roman"/>
      <family val="1"/>
    </font>
    <font>
      <sz val="12"/>
      <color rgb="FFFFFFFF"/>
      <name val="Times New Roman"/>
      <family val="1"/>
    </font>
    <font>
      <b/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3" fillId="2" borderId="0" xfId="0" applyFont="1" applyFill="1"/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4" fontId="2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0" fontId="4" fillId="3" borderId="1" xfId="0" applyFont="1" applyFill="1" applyBorder="1" applyAlignment="1">
      <alignment horizontal="center"/>
    </xf>
    <xf numFmtId="0" fontId="2" fillId="3" borderId="0" xfId="0" applyFont="1" applyFill="1" applyAlignment="1">
      <alignment horizontal="right"/>
    </xf>
    <xf numFmtId="10" fontId="2" fillId="3" borderId="1" xfId="0" applyNumberFormat="1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0" xfId="0" applyFont="1" applyFill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/>
    <xf numFmtId="4" fontId="2" fillId="4" borderId="1" xfId="0" applyNumberFormat="1" applyFont="1" applyFill="1" applyBorder="1" applyAlignment="1">
      <alignment horizontal="right"/>
    </xf>
    <xf numFmtId="3" fontId="2" fillId="4" borderId="1" xfId="0" applyNumberFormat="1" applyFont="1" applyFill="1" applyBorder="1" applyAlignment="1">
      <alignment horizontal="right"/>
    </xf>
    <xf numFmtId="164" fontId="2" fillId="4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10" fontId="2" fillId="4" borderId="1" xfId="0" applyNumberFormat="1" applyFont="1" applyFill="1" applyBorder="1" applyAlignment="1">
      <alignment horizontal="center"/>
    </xf>
    <xf numFmtId="165" fontId="2" fillId="4" borderId="1" xfId="0" applyNumberFormat="1" applyFont="1" applyFill="1" applyBorder="1" applyAlignment="1">
      <alignment horizontal="center"/>
    </xf>
    <xf numFmtId="0" fontId="2" fillId="4" borderId="0" xfId="0" applyFont="1" applyFill="1"/>
    <xf numFmtId="0" fontId="2" fillId="4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" xfId="0" applyFont="1" applyFill="1" applyBorder="1"/>
    <xf numFmtId="4" fontId="1" fillId="2" borderId="2" xfId="0" applyNumberFormat="1" applyFont="1" applyFill="1" applyBorder="1" applyAlignment="1">
      <alignment horizontal="right"/>
    </xf>
    <xf numFmtId="166" fontId="1" fillId="2" borderId="2" xfId="0" applyNumberFormat="1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10" fontId="5" fillId="2" borderId="1" xfId="0" applyNumberFormat="1" applyFont="1" applyFill="1" applyBorder="1" applyAlignment="1">
      <alignment horizontal="center"/>
    </xf>
    <xf numFmtId="10" fontId="2" fillId="2" borderId="1" xfId="0" applyNumberFormat="1" applyFont="1" applyFill="1" applyBorder="1"/>
    <xf numFmtId="0" fontId="3" fillId="2" borderId="4" xfId="0" applyFont="1" applyFill="1" applyBorder="1" applyAlignment="1">
      <alignment horizontal="center"/>
    </xf>
    <xf numFmtId="167" fontId="3" fillId="2" borderId="4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67" fontId="3" fillId="2" borderId="4" xfId="0" applyNumberFormat="1" applyFont="1" applyFill="1" applyBorder="1"/>
    <xf numFmtId="1" fontId="2" fillId="0" borderId="0" xfId="0" applyNumberFormat="1" applyFont="1"/>
    <xf numFmtId="0" fontId="2" fillId="0" borderId="0" xfId="0" applyFont="1" applyAlignment="1">
      <alignment horizontal="right"/>
    </xf>
    <xf numFmtId="167" fontId="2" fillId="0" borderId="0" xfId="0" applyNumberFormat="1" applyFont="1" applyAlignment="1">
      <alignment horizontal="right"/>
    </xf>
    <xf numFmtId="167" fontId="2" fillId="0" borderId="0" xfId="0" applyNumberFormat="1" applyFont="1"/>
    <xf numFmtId="0" fontId="6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4"/>
  <sheetViews>
    <sheetView workbookViewId="0">
      <pane xSplit="2" topLeftCell="C1" activePane="topRight" state="frozen"/>
      <selection pane="topRight" activeCell="D2" sqref="D2"/>
    </sheetView>
  </sheetViews>
  <sheetFormatPr defaultColWidth="12.6640625" defaultRowHeight="15.75" customHeight="1" x14ac:dyDescent="0.25"/>
  <cols>
    <col min="2" max="2" width="20.44140625" customWidth="1"/>
    <col min="4" max="4" width="19.77734375" customWidth="1"/>
    <col min="5" max="5" width="18.5546875" customWidth="1"/>
    <col min="7" max="7" width="14.6640625" customWidth="1"/>
    <col min="8" max="8" width="13.33203125" customWidth="1"/>
    <col min="10" max="10" width="15.77734375" customWidth="1"/>
    <col min="11" max="11" width="16" customWidth="1"/>
    <col min="13" max="13" width="15.33203125" customWidth="1"/>
    <col min="14" max="14" width="13.44140625" customWidth="1"/>
  </cols>
  <sheetData>
    <row r="1" spans="1:27" ht="15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3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5" t="s">
        <v>12</v>
      </c>
      <c r="O2" s="5" t="s">
        <v>13</v>
      </c>
      <c r="P2" s="5" t="s">
        <v>14</v>
      </c>
      <c r="Q2" s="5" t="s">
        <v>13</v>
      </c>
      <c r="R2" s="5" t="s">
        <v>15</v>
      </c>
      <c r="S2" s="5" t="s">
        <v>13</v>
      </c>
      <c r="T2" s="5" t="s">
        <v>16</v>
      </c>
      <c r="U2" s="5" t="s">
        <v>13</v>
      </c>
      <c r="V2" s="4" t="s">
        <v>7</v>
      </c>
      <c r="W2" s="5" t="s">
        <v>13</v>
      </c>
      <c r="X2" s="2" t="s">
        <v>17</v>
      </c>
      <c r="Y2" s="2" t="s">
        <v>18</v>
      </c>
      <c r="Z2" s="2" t="s">
        <v>19</v>
      </c>
      <c r="AA2" s="2"/>
    </row>
    <row r="3" spans="1:27" ht="15.75" customHeight="1" x14ac:dyDescent="0.3">
      <c r="A3" s="6">
        <v>1</v>
      </c>
      <c r="B3" s="7" t="s">
        <v>20</v>
      </c>
      <c r="C3" s="8">
        <v>2085.8000000000002</v>
      </c>
      <c r="D3" s="9">
        <v>7453564500000</v>
      </c>
      <c r="E3" s="10">
        <f t="shared" ref="E3:E13" si="0">C3/D3</f>
        <v>2.7983926348259282E-10</v>
      </c>
      <c r="F3" s="11" t="str">
        <f t="shared" ref="F3:F13" si="1">IF(E3&lt;$E$14,"Undervalued","Overvalued")</f>
        <v>Undervalued</v>
      </c>
      <c r="G3" s="12">
        <v>255324</v>
      </c>
      <c r="H3" s="12">
        <v>267021</v>
      </c>
      <c r="I3" s="13">
        <f t="shared" ref="I3:I14" si="2">(H3-G3)/G3</f>
        <v>4.5812379564788272E-2</v>
      </c>
      <c r="J3" s="9">
        <v>48797</v>
      </c>
      <c r="K3" s="9">
        <v>49454</v>
      </c>
      <c r="L3" s="13">
        <f t="shared" ref="L3:L13" si="3">(K3-J3)/J3</f>
        <v>1.3463942455478821E-2</v>
      </c>
      <c r="M3" s="14">
        <f t="shared" ref="M3:M13" si="4">E3/I3</f>
        <v>6.1083765161519638E-9</v>
      </c>
      <c r="N3" s="15">
        <v>25</v>
      </c>
      <c r="O3" s="15">
        <v>2</v>
      </c>
      <c r="P3" s="15">
        <v>48.7</v>
      </c>
      <c r="Q3" s="15">
        <v>1</v>
      </c>
      <c r="R3" s="15">
        <v>1.4</v>
      </c>
      <c r="S3" s="15">
        <v>9</v>
      </c>
      <c r="T3" s="15">
        <v>6</v>
      </c>
      <c r="U3" s="15">
        <v>4</v>
      </c>
      <c r="V3" s="13">
        <f t="shared" ref="V3:V13" si="5">(H3-G3)/G3</f>
        <v>4.5812379564788272E-2</v>
      </c>
      <c r="W3" s="15">
        <v>11</v>
      </c>
      <c r="X3" s="15">
        <f t="shared" ref="X3:X13" si="6">SUM(Q3,S3,U3,O3,W3)</f>
        <v>27</v>
      </c>
      <c r="Y3" s="15">
        <v>4</v>
      </c>
      <c r="Z3" s="15" t="str">
        <f t="shared" ref="Z3:Z13" si="7">IF(M2&lt;1.5%,"select","NOT")</f>
        <v>NOT</v>
      </c>
      <c r="AA3" s="2"/>
    </row>
    <row r="4" spans="1:27" ht="15.75" customHeight="1" x14ac:dyDescent="0.3">
      <c r="A4" s="16">
        <v>2</v>
      </c>
      <c r="B4" s="17" t="s">
        <v>21</v>
      </c>
      <c r="C4" s="18">
        <v>1050.0999999999999</v>
      </c>
      <c r="D4" s="19">
        <v>4176133500000</v>
      </c>
      <c r="E4" s="20">
        <f t="shared" si="0"/>
        <v>2.5145268943150403E-10</v>
      </c>
      <c r="F4" s="21" t="str">
        <f t="shared" si="1"/>
        <v>Undervalued</v>
      </c>
      <c r="G4" s="22">
        <v>163082</v>
      </c>
      <c r="H4" s="22">
        <v>178650</v>
      </c>
      <c r="I4" s="23">
        <f t="shared" si="2"/>
        <v>9.5461179038765775E-2</v>
      </c>
      <c r="J4" s="19">
        <v>26248</v>
      </c>
      <c r="K4" s="19">
        <v>29414</v>
      </c>
      <c r="L4" s="23">
        <f t="shared" si="3"/>
        <v>0.12061871380676623</v>
      </c>
      <c r="M4" s="24">
        <f t="shared" si="4"/>
        <v>2.6340832154334877E-9</v>
      </c>
      <c r="N4" s="25">
        <v>20.5</v>
      </c>
      <c r="O4" s="25">
        <v>3</v>
      </c>
      <c r="P4" s="25">
        <v>31.6</v>
      </c>
      <c r="Q4" s="25">
        <v>2</v>
      </c>
      <c r="R4" s="25">
        <v>10.199999999999999</v>
      </c>
      <c r="S4" s="25">
        <v>5</v>
      </c>
      <c r="T4" s="25">
        <v>6.9</v>
      </c>
      <c r="U4" s="25">
        <v>1</v>
      </c>
      <c r="V4" s="23">
        <f t="shared" si="5"/>
        <v>9.5461179038765775E-2</v>
      </c>
      <c r="W4" s="25">
        <v>8</v>
      </c>
      <c r="X4" s="25">
        <f t="shared" si="6"/>
        <v>19</v>
      </c>
      <c r="Y4" s="25">
        <v>1</v>
      </c>
      <c r="Z4" s="25" t="str">
        <f t="shared" si="7"/>
        <v>select</v>
      </c>
      <c r="AA4" s="17" t="s">
        <v>21</v>
      </c>
    </row>
    <row r="5" spans="1:27" ht="15.75" customHeight="1" x14ac:dyDescent="0.3">
      <c r="A5" s="16">
        <v>3</v>
      </c>
      <c r="B5" s="17" t="s">
        <v>22</v>
      </c>
      <c r="C5" s="18">
        <v>1113.5</v>
      </c>
      <c r="D5" s="19">
        <v>3011877100000</v>
      </c>
      <c r="E5" s="20">
        <f t="shared" si="0"/>
        <v>3.6970300016557783E-10</v>
      </c>
      <c r="F5" s="21" t="str">
        <f t="shared" si="1"/>
        <v>Undervalued</v>
      </c>
      <c r="G5" s="22">
        <v>117055</v>
      </c>
      <c r="H5" s="22">
        <v>130144</v>
      </c>
      <c r="I5" s="23">
        <f t="shared" si="2"/>
        <v>0.11181923027636581</v>
      </c>
      <c r="J5" s="19">
        <v>17390</v>
      </c>
      <c r="K5" s="19">
        <v>17361</v>
      </c>
      <c r="L5" s="23">
        <f t="shared" si="3"/>
        <v>-1.667625071880391E-3</v>
      </c>
      <c r="M5" s="24">
        <f t="shared" si="4"/>
        <v>3.3062559923891597E-9</v>
      </c>
      <c r="N5" s="25">
        <v>17.2</v>
      </c>
      <c r="O5" s="25">
        <v>5</v>
      </c>
      <c r="P5" s="25">
        <v>23.5</v>
      </c>
      <c r="Q5" s="25">
        <v>4</v>
      </c>
      <c r="R5" s="25">
        <v>-0.1</v>
      </c>
      <c r="S5" s="25">
        <v>11</v>
      </c>
      <c r="T5" s="25">
        <v>6.4</v>
      </c>
      <c r="U5" s="25">
        <v>3</v>
      </c>
      <c r="V5" s="23">
        <f t="shared" si="5"/>
        <v>0.11181923027636581</v>
      </c>
      <c r="W5" s="25">
        <v>7</v>
      </c>
      <c r="X5" s="25">
        <f t="shared" si="6"/>
        <v>30</v>
      </c>
      <c r="Y5" s="25">
        <v>5</v>
      </c>
      <c r="Z5" s="25" t="str">
        <f t="shared" si="7"/>
        <v>select</v>
      </c>
      <c r="AA5" s="17" t="s">
        <v>23</v>
      </c>
    </row>
    <row r="6" spans="1:27" ht="15.75" customHeight="1" x14ac:dyDescent="0.3">
      <c r="A6" s="16">
        <v>4</v>
      </c>
      <c r="B6" s="17" t="s">
        <v>24</v>
      </c>
      <c r="C6" s="26">
        <v>174.53</v>
      </c>
      <c r="D6" s="19">
        <v>1833578500000</v>
      </c>
      <c r="E6" s="20">
        <f t="shared" si="0"/>
        <v>9.5185452927158555E-11</v>
      </c>
      <c r="F6" s="21" t="str">
        <f t="shared" si="1"/>
        <v>Undervalued</v>
      </c>
      <c r="G6" s="19">
        <v>89088</v>
      </c>
      <c r="H6" s="19">
        <v>92624</v>
      </c>
      <c r="I6" s="23">
        <f t="shared" si="2"/>
        <v>3.969109195402299E-2</v>
      </c>
      <c r="J6" s="19">
        <v>13135</v>
      </c>
      <c r="K6" s="19">
        <v>13265</v>
      </c>
      <c r="L6" s="23">
        <f t="shared" si="3"/>
        <v>9.8972211648267992E-3</v>
      </c>
      <c r="M6" s="24">
        <f t="shared" si="4"/>
        <v>2.3981565696761031E-9</v>
      </c>
      <c r="N6" s="25">
        <v>17.3</v>
      </c>
      <c r="O6" s="25">
        <v>4</v>
      </c>
      <c r="P6" s="25">
        <v>15.5</v>
      </c>
      <c r="Q6" s="25">
        <v>9</v>
      </c>
      <c r="R6" s="25">
        <v>0.3</v>
      </c>
      <c r="S6" s="25">
        <v>10</v>
      </c>
      <c r="T6" s="25">
        <v>6.6</v>
      </c>
      <c r="U6" s="25">
        <v>2</v>
      </c>
      <c r="V6" s="23">
        <f t="shared" si="5"/>
        <v>3.969109195402299E-2</v>
      </c>
      <c r="W6" s="25">
        <v>10</v>
      </c>
      <c r="X6" s="25">
        <f t="shared" si="6"/>
        <v>35</v>
      </c>
      <c r="Y6" s="25">
        <v>3</v>
      </c>
      <c r="Z6" s="25" t="str">
        <f t="shared" si="7"/>
        <v>select</v>
      </c>
      <c r="AA6" s="17" t="s">
        <v>24</v>
      </c>
    </row>
    <row r="7" spans="1:27" ht="15.75" customHeight="1" x14ac:dyDescent="0.3">
      <c r="A7" s="16">
        <v>5</v>
      </c>
      <c r="B7" s="17" t="s">
        <v>25</v>
      </c>
      <c r="C7" s="18">
        <v>1453.5</v>
      </c>
      <c r="D7" s="19">
        <v>1387515100000</v>
      </c>
      <c r="E7" s="20">
        <f t="shared" si="0"/>
        <v>1.0475561671364874E-9</v>
      </c>
      <c r="F7" s="21" t="str">
        <f t="shared" si="1"/>
        <v>Undervalued</v>
      </c>
      <c r="G7" s="19">
        <v>52988</v>
      </c>
      <c r="H7" s="19">
        <v>56815</v>
      </c>
      <c r="I7" s="23">
        <f t="shared" si="2"/>
        <v>7.2223899750887E-2</v>
      </c>
      <c r="J7" s="19">
        <v>4252</v>
      </c>
      <c r="K7" s="19">
        <v>4811</v>
      </c>
      <c r="L7" s="23">
        <f t="shared" si="3"/>
        <v>0.13146754468485419</v>
      </c>
      <c r="M7" s="24">
        <f t="shared" si="4"/>
        <v>1.4504286956944916E-8</v>
      </c>
      <c r="N7" s="25">
        <v>12.6</v>
      </c>
      <c r="O7" s="25">
        <v>11</v>
      </c>
      <c r="P7" s="25">
        <v>13</v>
      </c>
      <c r="Q7" s="25">
        <v>11</v>
      </c>
      <c r="R7" s="25">
        <v>13.2</v>
      </c>
      <c r="S7" s="25">
        <v>4</v>
      </c>
      <c r="T7" s="25">
        <v>5.5</v>
      </c>
      <c r="U7" s="25">
        <v>5</v>
      </c>
      <c r="V7" s="23">
        <f t="shared" si="5"/>
        <v>7.2223899750887E-2</v>
      </c>
      <c r="W7" s="25">
        <v>9</v>
      </c>
      <c r="X7" s="25">
        <f t="shared" si="6"/>
        <v>40</v>
      </c>
      <c r="Y7" s="25">
        <v>9</v>
      </c>
      <c r="Z7" s="25" t="str">
        <f t="shared" si="7"/>
        <v>select</v>
      </c>
      <c r="AA7" s="17" t="s">
        <v>22</v>
      </c>
    </row>
    <row r="8" spans="1:27" ht="15.75" customHeight="1" x14ac:dyDescent="0.3">
      <c r="A8" s="16">
        <v>6</v>
      </c>
      <c r="B8" s="7" t="s">
        <v>26</v>
      </c>
      <c r="C8" s="8">
        <v>3809.2</v>
      </c>
      <c r="D8" s="9">
        <v>117583600000</v>
      </c>
      <c r="E8" s="10">
        <f t="shared" si="0"/>
        <v>3.2395674226677872E-8</v>
      </c>
      <c r="F8" s="11" t="str">
        <f t="shared" si="1"/>
        <v>Overvalued</v>
      </c>
      <c r="G8" s="9">
        <v>38008</v>
      </c>
      <c r="H8" s="9">
        <v>42308</v>
      </c>
      <c r="I8" s="13">
        <f t="shared" si="2"/>
        <v>0.11313407703641339</v>
      </c>
      <c r="J8" s="9">
        <v>4599</v>
      </c>
      <c r="K8" s="9">
        <v>5018</v>
      </c>
      <c r="L8" s="13">
        <f t="shared" si="3"/>
        <v>9.1106762339639047E-2</v>
      </c>
      <c r="M8" s="14">
        <f t="shared" si="4"/>
        <v>2.8634762465292384E-7</v>
      </c>
      <c r="N8" s="15">
        <v>15.4</v>
      </c>
      <c r="O8" s="15">
        <v>7</v>
      </c>
      <c r="P8" s="15">
        <v>19</v>
      </c>
      <c r="Q8" s="15">
        <v>7</v>
      </c>
      <c r="R8" s="15">
        <v>16.899999999999999</v>
      </c>
      <c r="S8" s="15">
        <v>3</v>
      </c>
      <c r="T8" s="15">
        <v>3.8</v>
      </c>
      <c r="U8" s="15">
        <v>9</v>
      </c>
      <c r="V8" s="13">
        <f t="shared" si="5"/>
        <v>0.11313407703641339</v>
      </c>
      <c r="W8" s="15">
        <v>6</v>
      </c>
      <c r="X8" s="15">
        <f t="shared" si="6"/>
        <v>32</v>
      </c>
      <c r="Y8" s="15">
        <v>6</v>
      </c>
      <c r="Z8" s="15" t="str">
        <f t="shared" si="7"/>
        <v>select</v>
      </c>
      <c r="AA8" s="17" t="s">
        <v>27</v>
      </c>
    </row>
    <row r="9" spans="1:27" ht="15.75" customHeight="1" x14ac:dyDescent="0.3">
      <c r="A9" s="16">
        <v>7</v>
      </c>
      <c r="B9" s="7" t="s">
        <v>23</v>
      </c>
      <c r="C9" s="8">
        <v>10229.5</v>
      </c>
      <c r="D9" s="9">
        <v>859353800000</v>
      </c>
      <c r="E9" s="10">
        <f t="shared" si="0"/>
        <v>1.1903711835567609E-8</v>
      </c>
      <c r="F9" s="11" t="str">
        <f t="shared" si="1"/>
        <v>Overvalued</v>
      </c>
      <c r="G9" s="9">
        <v>6847</v>
      </c>
      <c r="H9" s="9">
        <v>7672</v>
      </c>
      <c r="I9" s="13">
        <f t="shared" si="2"/>
        <v>0.12049072586534249</v>
      </c>
      <c r="J9" s="9">
        <v>2380</v>
      </c>
      <c r="K9" s="9">
        <v>2639</v>
      </c>
      <c r="L9" s="13">
        <f t="shared" si="3"/>
        <v>0.10882352941176471</v>
      </c>
      <c r="M9" s="14">
        <f t="shared" si="4"/>
        <v>9.8793593864401725E-8</v>
      </c>
      <c r="N9" s="15">
        <v>47</v>
      </c>
      <c r="O9" s="15">
        <v>1</v>
      </c>
      <c r="P9" s="15">
        <v>28</v>
      </c>
      <c r="Q9" s="15">
        <v>3</v>
      </c>
      <c r="R9" s="15">
        <v>7.5</v>
      </c>
      <c r="S9" s="15">
        <v>6</v>
      </c>
      <c r="T9" s="15">
        <v>4.2</v>
      </c>
      <c r="U9" s="15">
        <v>8</v>
      </c>
      <c r="V9" s="13">
        <f t="shared" si="5"/>
        <v>0.12049072586534249</v>
      </c>
      <c r="W9" s="15">
        <v>4</v>
      </c>
      <c r="X9" s="15">
        <f t="shared" si="6"/>
        <v>22</v>
      </c>
      <c r="Y9" s="15">
        <v>2</v>
      </c>
      <c r="Z9" s="15" t="str">
        <f t="shared" si="7"/>
        <v>select</v>
      </c>
      <c r="AA9" s="17" t="s">
        <v>26</v>
      </c>
    </row>
    <row r="10" spans="1:27" ht="15.75" customHeight="1" x14ac:dyDescent="0.3">
      <c r="A10" s="16">
        <v>8</v>
      </c>
      <c r="B10" s="7" t="s">
        <v>28</v>
      </c>
      <c r="C10" s="8">
        <v>4862.5</v>
      </c>
      <c r="D10" s="9">
        <v>763523400000</v>
      </c>
      <c r="E10" s="10">
        <f t="shared" si="0"/>
        <v>6.3685016071544106E-9</v>
      </c>
      <c r="F10" s="11" t="str">
        <f t="shared" si="1"/>
        <v>Overvalued</v>
      </c>
      <c r="G10" s="9">
        <v>11939</v>
      </c>
      <c r="H10" s="9">
        <v>14748</v>
      </c>
      <c r="I10" s="13">
        <f t="shared" si="2"/>
        <v>0.23527933662785827</v>
      </c>
      <c r="J10" s="9">
        <v>1400</v>
      </c>
      <c r="K10" s="9">
        <v>1865</v>
      </c>
      <c r="L10" s="13">
        <f t="shared" si="3"/>
        <v>0.33214285714285713</v>
      </c>
      <c r="M10" s="14">
        <f t="shared" si="4"/>
        <v>2.7067832213533824E-8</v>
      </c>
      <c r="N10" s="15">
        <v>15.6</v>
      </c>
      <c r="O10" s="15">
        <v>6</v>
      </c>
      <c r="P10" s="15">
        <v>22</v>
      </c>
      <c r="Q10" s="15">
        <v>5</v>
      </c>
      <c r="R10" s="15">
        <v>33.200000000000003</v>
      </c>
      <c r="S10" s="15">
        <v>2</v>
      </c>
      <c r="T10" s="15">
        <v>2.9</v>
      </c>
      <c r="U10" s="15">
        <v>10</v>
      </c>
      <c r="V10" s="13">
        <f t="shared" si="5"/>
        <v>0.23527933662785827</v>
      </c>
      <c r="W10" s="15">
        <v>1</v>
      </c>
      <c r="X10" s="15">
        <f t="shared" si="6"/>
        <v>24</v>
      </c>
      <c r="Y10" s="15">
        <v>3</v>
      </c>
      <c r="Z10" s="15" t="str">
        <f t="shared" si="7"/>
        <v>select</v>
      </c>
      <c r="AA10" s="17" t="s">
        <v>29</v>
      </c>
    </row>
    <row r="11" spans="1:27" ht="15.75" customHeight="1" x14ac:dyDescent="0.3">
      <c r="A11" s="16">
        <v>9</v>
      </c>
      <c r="B11" s="17" t="s">
        <v>27</v>
      </c>
      <c r="C11" s="18">
        <v>1495</v>
      </c>
      <c r="D11" s="19">
        <v>636937400000</v>
      </c>
      <c r="E11" s="20">
        <f t="shared" si="0"/>
        <v>2.3471694392572959E-9</v>
      </c>
      <c r="F11" s="21" t="str">
        <f t="shared" si="1"/>
        <v>Undervalued</v>
      </c>
      <c r="G11" s="19">
        <v>14543</v>
      </c>
      <c r="H11" s="19">
        <v>16402</v>
      </c>
      <c r="I11" s="23">
        <f t="shared" si="2"/>
        <v>0.12782782094478443</v>
      </c>
      <c r="J11" s="19">
        <v>1470</v>
      </c>
      <c r="K11" s="19">
        <v>1675</v>
      </c>
      <c r="L11" s="23">
        <f t="shared" si="3"/>
        <v>0.13945578231292516</v>
      </c>
      <c r="M11" s="24">
        <f t="shared" si="4"/>
        <v>1.8361960815018212E-8</v>
      </c>
      <c r="N11" s="25">
        <v>14.4</v>
      </c>
      <c r="O11" s="25">
        <v>9</v>
      </c>
      <c r="P11" s="25">
        <v>19.5</v>
      </c>
      <c r="Q11" s="25">
        <v>6</v>
      </c>
      <c r="R11" s="25">
        <v>88.8</v>
      </c>
      <c r="S11" s="25">
        <v>1</v>
      </c>
      <c r="T11" s="25">
        <v>2.1</v>
      </c>
      <c r="U11" s="25">
        <v>11</v>
      </c>
      <c r="V11" s="23">
        <f t="shared" si="5"/>
        <v>0.12782782094478443</v>
      </c>
      <c r="W11" s="25">
        <v>3</v>
      </c>
      <c r="X11" s="25">
        <f t="shared" si="6"/>
        <v>30</v>
      </c>
      <c r="Y11" s="25">
        <v>5</v>
      </c>
      <c r="Z11" s="25" t="str">
        <f t="shared" si="7"/>
        <v>select</v>
      </c>
      <c r="AA11" s="17" t="s">
        <v>30</v>
      </c>
    </row>
    <row r="12" spans="1:27" ht="15.75" customHeight="1" x14ac:dyDescent="0.3">
      <c r="A12" s="16">
        <v>10</v>
      </c>
      <c r="B12" s="17" t="s">
        <v>30</v>
      </c>
      <c r="C12" s="18">
        <v>2251.9</v>
      </c>
      <c r="D12" s="19">
        <v>428601400000</v>
      </c>
      <c r="E12" s="20">
        <f t="shared" si="0"/>
        <v>5.2540658989914639E-9</v>
      </c>
      <c r="F12" s="21" t="str">
        <f t="shared" si="1"/>
        <v>Undervalued</v>
      </c>
      <c r="G12" s="19">
        <v>14230</v>
      </c>
      <c r="H12" s="19">
        <v>15880</v>
      </c>
      <c r="I12" s="23">
        <f t="shared" si="2"/>
        <v>0.11595221363316936</v>
      </c>
      <c r="J12" s="19">
        <v>1728</v>
      </c>
      <c r="K12" s="19">
        <v>1863</v>
      </c>
      <c r="L12" s="23">
        <f t="shared" si="3"/>
        <v>7.8125E-2</v>
      </c>
      <c r="M12" s="24">
        <f t="shared" si="4"/>
        <v>4.5312338025847592E-8</v>
      </c>
      <c r="N12" s="25">
        <v>15.3</v>
      </c>
      <c r="O12" s="25">
        <v>8</v>
      </c>
      <c r="P12" s="25">
        <v>18.5</v>
      </c>
      <c r="Q12" s="25">
        <v>8</v>
      </c>
      <c r="R12" s="25">
        <v>4.0999999999999996</v>
      </c>
      <c r="S12" s="25">
        <v>8</v>
      </c>
      <c r="T12" s="25">
        <v>4.9000000000000004</v>
      </c>
      <c r="U12" s="25">
        <v>7</v>
      </c>
      <c r="V12" s="23">
        <f t="shared" si="5"/>
        <v>0.11595221363316936</v>
      </c>
      <c r="W12" s="25">
        <v>5</v>
      </c>
      <c r="X12" s="25">
        <f t="shared" si="6"/>
        <v>36</v>
      </c>
      <c r="Y12" s="25">
        <v>8</v>
      </c>
      <c r="Z12" s="25" t="str">
        <f t="shared" si="7"/>
        <v>select</v>
      </c>
      <c r="AA12" s="17" t="s">
        <v>25</v>
      </c>
    </row>
    <row r="13" spans="1:27" ht="15.75" customHeight="1" x14ac:dyDescent="0.3">
      <c r="A13" s="16">
        <v>11</v>
      </c>
      <c r="B13" s="17" t="s">
        <v>29</v>
      </c>
      <c r="C13" s="26">
        <v>490.7</v>
      </c>
      <c r="D13" s="19">
        <v>297019400000</v>
      </c>
      <c r="E13" s="20">
        <f t="shared" si="0"/>
        <v>1.6520806385037474E-9</v>
      </c>
      <c r="F13" s="21" t="str">
        <f t="shared" si="1"/>
        <v>Undervalued</v>
      </c>
      <c r="G13" s="19">
        <v>12148</v>
      </c>
      <c r="H13" s="19">
        <v>13836</v>
      </c>
      <c r="I13" s="23">
        <f t="shared" si="2"/>
        <v>0.13895291405992757</v>
      </c>
      <c r="J13" s="19">
        <v>1179</v>
      </c>
      <c r="K13" s="19">
        <v>1393</v>
      </c>
      <c r="L13" s="23">
        <f t="shared" si="3"/>
        <v>0.18150975402883801</v>
      </c>
      <c r="M13" s="24">
        <f t="shared" si="4"/>
        <v>1.1889499760985499E-8</v>
      </c>
      <c r="N13" s="25">
        <v>13.9</v>
      </c>
      <c r="O13" s="25">
        <v>10</v>
      </c>
      <c r="P13" s="25">
        <v>14.5</v>
      </c>
      <c r="Q13" s="25">
        <v>10</v>
      </c>
      <c r="R13" s="25">
        <v>7.5</v>
      </c>
      <c r="S13" s="25">
        <v>7</v>
      </c>
      <c r="T13" s="25">
        <v>5.04</v>
      </c>
      <c r="U13" s="25">
        <v>6</v>
      </c>
      <c r="V13" s="23">
        <f t="shared" si="5"/>
        <v>0.13895291405992757</v>
      </c>
      <c r="W13" s="25">
        <v>2</v>
      </c>
      <c r="X13" s="25">
        <f t="shared" si="6"/>
        <v>35</v>
      </c>
      <c r="Y13" s="25">
        <v>7</v>
      </c>
      <c r="Z13" s="25" t="str">
        <f t="shared" si="7"/>
        <v>select</v>
      </c>
      <c r="AA13" s="17" t="s">
        <v>24</v>
      </c>
    </row>
    <row r="14" spans="1:27" ht="15.75" customHeight="1" x14ac:dyDescent="0.3">
      <c r="A14" s="27" t="s">
        <v>31</v>
      </c>
      <c r="B14" s="28"/>
      <c r="C14" s="29"/>
      <c r="D14" s="30">
        <v>2463842.4199999995</v>
      </c>
      <c r="E14" s="31">
        <f>AVERAGE(E3:E13)</f>
        <v>5.6331763835723385E-9</v>
      </c>
      <c r="F14" s="3"/>
      <c r="G14" s="32">
        <v>775252</v>
      </c>
      <c r="H14" s="32">
        <v>836100</v>
      </c>
      <c r="I14" s="33">
        <f t="shared" si="2"/>
        <v>7.8488027118923914E-2</v>
      </c>
      <c r="J14" s="32" t="s">
        <v>32</v>
      </c>
      <c r="K14" s="32" t="s">
        <v>33</v>
      </c>
      <c r="L14" s="34"/>
      <c r="M14" s="34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3"/>
  <sheetViews>
    <sheetView tabSelected="1" workbookViewId="0">
      <pane xSplit="1" topLeftCell="B1" activePane="topRight" state="frozen"/>
      <selection pane="topRight" activeCell="F18" sqref="F18"/>
    </sheetView>
  </sheetViews>
  <sheetFormatPr defaultColWidth="12.6640625" defaultRowHeight="15.75" customHeight="1" x14ac:dyDescent="0.25"/>
  <cols>
    <col min="1" max="1" width="22.6640625" customWidth="1"/>
    <col min="4" max="4" width="16" customWidth="1"/>
    <col min="5" max="5" width="23.6640625" customWidth="1"/>
  </cols>
  <sheetData>
    <row r="1" spans="1:10" ht="15.75" customHeight="1" x14ac:dyDescent="0.3">
      <c r="A1" s="2"/>
      <c r="B1" s="2"/>
      <c r="C1" s="2"/>
      <c r="D1" s="2"/>
      <c r="E1" s="43" t="s">
        <v>34</v>
      </c>
      <c r="F1" s="44"/>
      <c r="G1" s="44"/>
      <c r="H1" s="44"/>
      <c r="I1" s="44"/>
      <c r="J1" s="44"/>
    </row>
    <row r="2" spans="1:10" ht="15.75" customHeight="1" x14ac:dyDescent="0.3">
      <c r="A2" s="35" t="s">
        <v>35</v>
      </c>
      <c r="B2" s="35" t="s">
        <v>36</v>
      </c>
      <c r="C2" s="35" t="s">
        <v>37</v>
      </c>
      <c r="D2" s="36" t="s">
        <v>38</v>
      </c>
      <c r="E2" s="37" t="s">
        <v>39</v>
      </c>
      <c r="F2" s="37" t="s">
        <v>40</v>
      </c>
      <c r="G2" s="37" t="s">
        <v>41</v>
      </c>
      <c r="H2" s="38" t="s">
        <v>42</v>
      </c>
      <c r="I2" s="2"/>
      <c r="J2" s="2"/>
    </row>
    <row r="3" spans="1:10" ht="15.75" customHeight="1" x14ac:dyDescent="0.3">
      <c r="A3" s="17" t="s">
        <v>21</v>
      </c>
      <c r="B3" s="18">
        <v>1050.0999999999999</v>
      </c>
      <c r="C3" s="39">
        <f t="shared" ref="C3:C10" si="0">D3/B3</f>
        <v>35710.884677649752</v>
      </c>
      <c r="D3" s="40">
        <f>7500000+30000000</f>
        <v>37500000</v>
      </c>
      <c r="E3" s="41">
        <f>C3*1040.1</f>
        <v>37142891.153223507</v>
      </c>
      <c r="F3" s="40">
        <f>C3*1041</f>
        <v>37175030.949433394</v>
      </c>
      <c r="G3" s="2">
        <f>1053.7*C3</f>
        <v>37628559.184839547</v>
      </c>
      <c r="H3" s="42"/>
      <c r="I3" s="2"/>
      <c r="J3" s="40"/>
    </row>
    <row r="4" spans="1:10" ht="15.75" customHeight="1" x14ac:dyDescent="0.3">
      <c r="A4" s="17" t="s">
        <v>24</v>
      </c>
      <c r="B4" s="26">
        <v>174.53</v>
      </c>
      <c r="C4" s="39">
        <f t="shared" si="0"/>
        <v>148971.52352031169</v>
      </c>
      <c r="D4" s="2">
        <f>11000000+15000000</f>
        <v>26000000</v>
      </c>
      <c r="E4" s="41">
        <f>C4*178.7</f>
        <v>26621211.253079697</v>
      </c>
      <c r="F4" s="40">
        <f>C4*173.61</f>
        <v>25862946.198361315</v>
      </c>
      <c r="G4" s="2">
        <f>176.25*C4</f>
        <v>26256231.020454936</v>
      </c>
      <c r="H4" s="2"/>
      <c r="I4" s="2"/>
      <c r="J4" s="2"/>
    </row>
    <row r="5" spans="1:10" ht="15.75" customHeight="1" x14ac:dyDescent="0.3">
      <c r="A5" s="17" t="s">
        <v>22</v>
      </c>
      <c r="B5" s="18">
        <v>1113.5</v>
      </c>
      <c r="C5" s="39">
        <f t="shared" si="0"/>
        <v>9878.7606645711712</v>
      </c>
      <c r="D5" s="2">
        <v>11000000</v>
      </c>
      <c r="E5" s="42">
        <f>C5*1140.2</f>
        <v>11263762.90974405</v>
      </c>
      <c r="F5" s="2">
        <f>C5*116.1</f>
        <v>1146924.1131567128</v>
      </c>
      <c r="G5" s="2">
        <f>1132.2*C5</f>
        <v>11184732.82442748</v>
      </c>
      <c r="H5" s="2"/>
      <c r="I5" s="2"/>
      <c r="J5" s="2"/>
    </row>
    <row r="6" spans="1:10" ht="15.75" customHeight="1" x14ac:dyDescent="0.3">
      <c r="A6" s="17" t="s">
        <v>27</v>
      </c>
      <c r="B6" s="18">
        <v>1495</v>
      </c>
      <c r="C6" s="39">
        <f t="shared" si="0"/>
        <v>5016.7224080267561</v>
      </c>
      <c r="D6" s="40">
        <v>7500000</v>
      </c>
      <c r="E6" s="2">
        <f>C6*1480.6</f>
        <v>7427759.1973244147</v>
      </c>
      <c r="F6" s="2">
        <f>C6*1484.4</f>
        <v>7446822.7424749173</v>
      </c>
      <c r="G6" s="2">
        <f>1513.6*C6</f>
        <v>7593311.0367892971</v>
      </c>
      <c r="H6" s="2"/>
      <c r="I6" s="2"/>
      <c r="J6" s="2"/>
    </row>
    <row r="7" spans="1:10" ht="15.75" customHeight="1" x14ac:dyDescent="0.3">
      <c r="A7" s="17" t="s">
        <v>29</v>
      </c>
      <c r="B7" s="26">
        <v>490.7</v>
      </c>
      <c r="C7" s="39">
        <f t="shared" si="0"/>
        <v>10189.525168127166</v>
      </c>
      <c r="D7" s="2">
        <v>5000000</v>
      </c>
      <c r="E7" s="42">
        <f>C7*493.25</f>
        <v>5025983.2891787244</v>
      </c>
      <c r="F7" s="2">
        <f>C7*492.45</f>
        <v>5017831.6690442227</v>
      </c>
      <c r="G7" s="2">
        <f>496.3*C7</f>
        <v>5057061.340941512</v>
      </c>
      <c r="H7" s="2"/>
      <c r="I7" s="2"/>
      <c r="J7" s="2"/>
    </row>
    <row r="8" spans="1:10" ht="15.75" customHeight="1" x14ac:dyDescent="0.3">
      <c r="A8" s="17" t="s">
        <v>30</v>
      </c>
      <c r="B8" s="18">
        <v>2251.9</v>
      </c>
      <c r="C8" s="39">
        <f t="shared" si="0"/>
        <v>2220.3472623118255</v>
      </c>
      <c r="D8" s="2">
        <v>5000000</v>
      </c>
      <c r="E8" s="42">
        <f>C8*2246.4</f>
        <v>4987788.0900572846</v>
      </c>
      <c r="F8" s="2">
        <f>C8*2253.7</f>
        <v>5003996.6250721607</v>
      </c>
      <c r="G8" s="2">
        <f>2286.1*C8</f>
        <v>5075935.8763710642</v>
      </c>
      <c r="H8" s="2"/>
      <c r="I8" s="2"/>
      <c r="J8" s="2"/>
    </row>
    <row r="9" spans="1:10" ht="15.75" customHeight="1" x14ac:dyDescent="0.3">
      <c r="A9" s="17" t="s">
        <v>25</v>
      </c>
      <c r="B9" s="18">
        <v>1453.5</v>
      </c>
      <c r="C9" s="39">
        <f t="shared" si="0"/>
        <v>2751.9779841761265</v>
      </c>
      <c r="D9" s="2">
        <v>4000000</v>
      </c>
      <c r="E9" s="42">
        <f>C9*1403.1</f>
        <v>3861300.309597523</v>
      </c>
      <c r="F9" s="2">
        <f>C9*1450.3</f>
        <v>3991193.6704506362</v>
      </c>
      <c r="G9" s="2">
        <f>1476*C9</f>
        <v>4061919.5046439627</v>
      </c>
      <c r="H9" s="2"/>
      <c r="I9" s="2"/>
      <c r="J9" s="2"/>
    </row>
    <row r="10" spans="1:10" ht="15.75" customHeight="1" x14ac:dyDescent="0.3">
      <c r="A10" s="17" t="s">
        <v>24</v>
      </c>
      <c r="B10" s="26">
        <v>174.53</v>
      </c>
      <c r="C10" s="39">
        <f t="shared" si="0"/>
        <v>22918.695926201799</v>
      </c>
      <c r="D10" s="2">
        <v>4000000</v>
      </c>
      <c r="E10" s="42">
        <f>C10*176.8</f>
        <v>4052025.4397524782</v>
      </c>
      <c r="F10" s="2">
        <f>C10*172.89</f>
        <v>3962413.3386810287</v>
      </c>
      <c r="G10" s="2">
        <f>176.25*C10</f>
        <v>4039420.1569930669</v>
      </c>
      <c r="H10" s="2"/>
      <c r="I10" s="2"/>
      <c r="J10" s="2"/>
    </row>
    <row r="11" spans="1:10" ht="15.75" customHeight="1" x14ac:dyDescent="0.3">
      <c r="A11" s="2"/>
      <c r="B11" s="2"/>
      <c r="C11" s="39">
        <f>SUM(C2:C10)</f>
        <v>237658.43761137628</v>
      </c>
      <c r="D11" s="2">
        <f>SUM(D3:D10)</f>
        <v>100000000</v>
      </c>
      <c r="E11" s="42">
        <f t="shared" ref="E11:G11" si="1">SUM(E3:E10)</f>
        <v>100382721.64195767</v>
      </c>
      <c r="F11" s="2">
        <f t="shared" si="1"/>
        <v>89607159.306674406</v>
      </c>
      <c r="G11" s="2">
        <f t="shared" si="1"/>
        <v>100897170.94546087</v>
      </c>
      <c r="H11" s="2"/>
      <c r="I11" s="2"/>
      <c r="J11" s="2"/>
    </row>
    <row r="12" spans="1:10" ht="15.75" customHeight="1" x14ac:dyDescent="0.3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ht="15.75" customHeight="1" x14ac:dyDescent="0.3">
      <c r="A13" s="2"/>
      <c r="B13" s="2"/>
      <c r="C13" s="2"/>
      <c r="D13" s="5" t="s">
        <v>43</v>
      </c>
      <c r="E13" s="5">
        <f>E11/D11*10</f>
        <v>10.038272164195767</v>
      </c>
      <c r="F13" s="5">
        <f>F11/D11*10</f>
        <v>8.9607159306674404</v>
      </c>
      <c r="G13" s="5">
        <f>G11/D11*10</f>
        <v>10.089717094546087</v>
      </c>
      <c r="H13" s="5" t="e">
        <f>D11/H11*10</f>
        <v>#DIV/0!</v>
      </c>
      <c r="I13" s="2"/>
      <c r="J13" s="2"/>
    </row>
  </sheetData>
  <mergeCells count="1">
    <mergeCell ref="E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Sayali Mhatre</cp:lastModifiedBy>
  <dcterms:modified xsi:type="dcterms:W3CDTF">2026-10-13T16:04:30Z</dcterms:modified>
</cp:coreProperties>
</file>