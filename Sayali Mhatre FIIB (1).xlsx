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esktop\Project\sayali_25PGDMFM052\"/>
    </mc:Choice>
  </mc:AlternateContent>
  <xr:revisionPtr revIDLastSave="0" documentId="13_ncr:1_{3DBEE4C9-494D-41FB-A653-CE4C89C32101}" xr6:coauthVersionLast="47" xr6:coauthVersionMax="47" xr10:uidLastSave="{00000000-0000-0000-0000-000000000000}"/>
  <bookViews>
    <workbookView xWindow="-108" yWindow="-108" windowWidth="23256" windowHeight="12456" firstSheet="2" activeTab="11" xr2:uid="{00000000-000D-0000-FFFF-FFFF00000000}"/>
  </bookViews>
  <sheets>
    <sheet name="INDEX" sheetId="11" r:id="rId1"/>
    <sheet name="RSI" sheetId="1" r:id="rId2"/>
    <sheet name="Supertrend" sheetId="9" r:id="rId3"/>
    <sheet name="MA" sheetId="2" r:id="rId4"/>
    <sheet name="VWAP" sheetId="3" r:id="rId5"/>
    <sheet name="MACD" sheetId="4" r:id="rId6"/>
    <sheet name="Stochastic RSI" sheetId="5" r:id="rId7"/>
    <sheet name="PP" sheetId="6" r:id="rId8"/>
    <sheet name="Awesome" sheetId="7" r:id="rId9"/>
    <sheet name="Bollinger" sheetId="8" r:id="rId10"/>
    <sheet name="CP" sheetId="10" r:id="rId11"/>
    <sheet name="RESULT"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OPuAbF19o0FY7H1vDcdHgL2G9OPA8Q25/mein/9KmoY="/>
    </ext>
  </extLst>
</workbook>
</file>

<file path=xl/calcChain.xml><?xml version="1.0" encoding="utf-8"?>
<calcChain xmlns="http://schemas.openxmlformats.org/spreadsheetml/2006/main">
  <c r="G13" i="12" l="1"/>
  <c r="G12" i="12"/>
  <c r="G11" i="12"/>
  <c r="G10" i="12"/>
  <c r="G9" i="12"/>
  <c r="G8" i="12"/>
  <c r="G7" i="12"/>
  <c r="F13" i="12"/>
  <c r="F12" i="12"/>
  <c r="F11" i="12"/>
  <c r="F10" i="12"/>
  <c r="F9" i="12"/>
  <c r="F8" i="12"/>
  <c r="F7" i="12"/>
  <c r="G6" i="12"/>
  <c r="F6" i="12"/>
  <c r="G5" i="12"/>
  <c r="F5" i="12"/>
  <c r="H5" i="12" s="1"/>
  <c r="G4" i="12"/>
  <c r="F4" i="12"/>
  <c r="H4" i="12" s="1"/>
  <c r="D30" i="10"/>
  <c r="F30" i="10"/>
  <c r="E30" i="10"/>
  <c r="F16" i="10"/>
  <c r="E16" i="10"/>
  <c r="D16" i="10"/>
  <c r="K58" i="10"/>
  <c r="J58" i="10"/>
  <c r="E58" i="10"/>
  <c r="D58" i="10"/>
  <c r="L58" i="10"/>
  <c r="F58" i="10"/>
  <c r="K44" i="10"/>
  <c r="J44" i="10"/>
  <c r="E44" i="10"/>
  <c r="D44" i="10"/>
  <c r="L44" i="10"/>
  <c r="F44" i="10"/>
  <c r="K30" i="10"/>
  <c r="J30" i="10"/>
  <c r="L30" i="10"/>
  <c r="K16" i="10"/>
  <c r="J16" i="10"/>
  <c r="L16" i="10"/>
  <c r="K58" i="9"/>
  <c r="J58" i="9"/>
  <c r="E58" i="9"/>
  <c r="D58" i="9"/>
  <c r="L57" i="9"/>
  <c r="F57" i="9"/>
  <c r="L56" i="9"/>
  <c r="F56" i="9"/>
  <c r="L58" i="9"/>
  <c r="F58" i="9"/>
  <c r="K44" i="9"/>
  <c r="J44" i="9"/>
  <c r="E44" i="9"/>
  <c r="D44" i="9"/>
  <c r="L43" i="9"/>
  <c r="F43" i="9"/>
  <c r="L42" i="9"/>
  <c r="F42" i="9"/>
  <c r="F44" i="9" s="1"/>
  <c r="L44" i="9"/>
  <c r="K30" i="9"/>
  <c r="J30" i="9"/>
  <c r="E30" i="9"/>
  <c r="D30" i="9"/>
  <c r="L29" i="9"/>
  <c r="F29" i="9"/>
  <c r="L28" i="9"/>
  <c r="F28" i="9"/>
  <c r="L30" i="9"/>
  <c r="F30" i="9"/>
  <c r="K16" i="9"/>
  <c r="J16" i="9"/>
  <c r="E16" i="9"/>
  <c r="D16" i="9"/>
  <c r="L15" i="9"/>
  <c r="F15" i="9"/>
  <c r="L14" i="9"/>
  <c r="F14" i="9"/>
  <c r="L16" i="9"/>
  <c r="F16" i="9"/>
  <c r="J59" i="1"/>
  <c r="F58" i="1"/>
  <c r="F59" i="1" s="1"/>
  <c r="F61" i="1" s="1"/>
  <c r="E58" i="1"/>
  <c r="E59" i="1" s="1"/>
  <c r="E61" i="1" s="1"/>
  <c r="D58" i="1"/>
  <c r="D59" i="1" s="1"/>
  <c r="D61" i="1" s="1"/>
  <c r="L59" i="8"/>
  <c r="K59" i="8"/>
  <c r="J59" i="8"/>
  <c r="F59" i="8"/>
  <c r="F61" i="8" s="1"/>
  <c r="E59" i="8"/>
  <c r="E61" i="8" s="1"/>
  <c r="D59" i="8"/>
  <c r="D61" i="8" s="1"/>
  <c r="L59" i="7"/>
  <c r="K59" i="7"/>
  <c r="J59" i="7"/>
  <c r="F59" i="7"/>
  <c r="F61" i="7" s="1"/>
  <c r="E59" i="7"/>
  <c r="E61" i="7" s="1"/>
  <c r="D59" i="7"/>
  <c r="D61" i="7" s="1"/>
  <c r="L59" i="6"/>
  <c r="K59" i="6"/>
  <c r="J59" i="6"/>
  <c r="F59" i="6"/>
  <c r="F61" i="6" s="1"/>
  <c r="E59" i="6"/>
  <c r="E61" i="6" s="1"/>
  <c r="D59" i="6"/>
  <c r="D61" i="6" s="1"/>
  <c r="L59" i="4"/>
  <c r="K59" i="4"/>
  <c r="J59" i="4"/>
  <c r="F59" i="4"/>
  <c r="F61" i="4" s="1"/>
  <c r="E59" i="4"/>
  <c r="E61" i="4" s="1"/>
  <c r="D59" i="4"/>
  <c r="D61" i="4" s="1"/>
  <c r="L59" i="3"/>
  <c r="K59" i="3"/>
  <c r="J59" i="3"/>
  <c r="F59" i="3"/>
  <c r="F61" i="3" s="1"/>
  <c r="E59" i="3"/>
  <c r="E61" i="3" s="1"/>
  <c r="D59" i="3"/>
  <c r="D61" i="3" s="1"/>
  <c r="L59" i="2"/>
  <c r="K59" i="2"/>
  <c r="J59" i="2"/>
  <c r="F59" i="2"/>
  <c r="F61" i="2" s="1"/>
  <c r="E59" i="2"/>
  <c r="E61" i="2" s="1"/>
  <c r="D59" i="2"/>
  <c r="D61" i="2" s="1"/>
  <c r="L59" i="1"/>
  <c r="K59" i="1"/>
  <c r="L58" i="8"/>
  <c r="K58" i="8"/>
  <c r="J58" i="8"/>
  <c r="F58" i="8"/>
  <c r="E58" i="8"/>
  <c r="D58" i="8"/>
  <c r="L44" i="8"/>
  <c r="K44" i="8"/>
  <c r="J44" i="8"/>
  <c r="F44" i="8"/>
  <c r="E44" i="8"/>
  <c r="D44" i="8"/>
  <c r="L30" i="8"/>
  <c r="K30" i="8"/>
  <c r="J30" i="8"/>
  <c r="F30" i="8"/>
  <c r="E30" i="8"/>
  <c r="D30" i="8"/>
  <c r="L58" i="7"/>
  <c r="K58" i="7"/>
  <c r="J58" i="7"/>
  <c r="F58" i="7"/>
  <c r="E58" i="7"/>
  <c r="D58" i="7"/>
  <c r="L44" i="7"/>
  <c r="K44" i="7"/>
  <c r="J44" i="7"/>
  <c r="F44" i="7"/>
  <c r="E44" i="7"/>
  <c r="D44" i="7"/>
  <c r="L30" i="7"/>
  <c r="K30" i="7"/>
  <c r="J30" i="7"/>
  <c r="F30" i="7"/>
  <c r="E30" i="7"/>
  <c r="D30" i="7"/>
  <c r="L58" i="6"/>
  <c r="K58" i="6"/>
  <c r="J58" i="6"/>
  <c r="F58" i="6"/>
  <c r="E58" i="6"/>
  <c r="D58" i="6"/>
  <c r="L44" i="6"/>
  <c r="K44" i="6"/>
  <c r="J44" i="6"/>
  <c r="F44" i="6"/>
  <c r="E44" i="6"/>
  <c r="D44" i="6"/>
  <c r="L30" i="6"/>
  <c r="K30" i="6"/>
  <c r="J30" i="6"/>
  <c r="F30" i="6"/>
  <c r="E30" i="6"/>
  <c r="D30" i="6"/>
  <c r="L58" i="4"/>
  <c r="K58" i="4"/>
  <c r="J58" i="4"/>
  <c r="F58" i="4"/>
  <c r="E58" i="4"/>
  <c r="D58" i="4"/>
  <c r="L44" i="4"/>
  <c r="K44" i="4"/>
  <c r="J44" i="4"/>
  <c r="F44" i="4"/>
  <c r="E44" i="4"/>
  <c r="D44" i="4"/>
  <c r="L30" i="4"/>
  <c r="K30" i="4"/>
  <c r="J30" i="4"/>
  <c r="F30" i="4"/>
  <c r="E30" i="4"/>
  <c r="D30" i="4"/>
  <c r="L58" i="3"/>
  <c r="K58" i="3"/>
  <c r="J58" i="3"/>
  <c r="F58" i="3"/>
  <c r="E58" i="3"/>
  <c r="D58" i="3"/>
  <c r="L44" i="3"/>
  <c r="K44" i="3"/>
  <c r="J44" i="3"/>
  <c r="F44" i="3"/>
  <c r="E44" i="3"/>
  <c r="D44" i="3"/>
  <c r="L30" i="3"/>
  <c r="K30" i="3"/>
  <c r="J30" i="3"/>
  <c r="F30" i="3"/>
  <c r="E30" i="3"/>
  <c r="D30" i="3"/>
  <c r="L58" i="2"/>
  <c r="K58" i="2"/>
  <c r="J58" i="2"/>
  <c r="F58" i="2"/>
  <c r="E58" i="2"/>
  <c r="D58" i="2"/>
  <c r="L58" i="1"/>
  <c r="K58" i="1"/>
  <c r="J58" i="1"/>
  <c r="L44" i="1"/>
  <c r="K44" i="1"/>
  <c r="J44" i="1"/>
  <c r="F44" i="1"/>
  <c r="E44" i="1"/>
  <c r="D44" i="1"/>
  <c r="L44" i="2"/>
  <c r="K44" i="2"/>
  <c r="J44" i="2"/>
  <c r="F44" i="2"/>
  <c r="E44" i="2"/>
  <c r="D44" i="2"/>
  <c r="L30" i="2"/>
  <c r="K30" i="2"/>
  <c r="J30" i="2"/>
  <c r="F30" i="2"/>
  <c r="E30" i="2"/>
  <c r="D30" i="2"/>
  <c r="L30" i="1"/>
  <c r="K30" i="1"/>
  <c r="J30" i="1"/>
  <c r="F30" i="1"/>
  <c r="E30" i="1"/>
  <c r="D30" i="1"/>
  <c r="L16" i="8"/>
  <c r="K16" i="8"/>
  <c r="J16" i="8"/>
  <c r="F16" i="8"/>
  <c r="E16" i="8"/>
  <c r="D16" i="8"/>
  <c r="L16" i="7"/>
  <c r="K16" i="7"/>
  <c r="J16" i="7"/>
  <c r="F16" i="7"/>
  <c r="E16" i="7"/>
  <c r="D16" i="7"/>
  <c r="L16" i="4"/>
  <c r="K16" i="4"/>
  <c r="J16" i="4"/>
  <c r="F16" i="4"/>
  <c r="E16" i="4"/>
  <c r="D16" i="4"/>
  <c r="L16" i="3"/>
  <c r="K16" i="3"/>
  <c r="J16" i="3"/>
  <c r="F16" i="3"/>
  <c r="E16" i="3"/>
  <c r="D16" i="3"/>
  <c r="L16" i="2"/>
  <c r="K16" i="2"/>
  <c r="J16" i="2"/>
  <c r="F16" i="2"/>
  <c r="E16" i="2"/>
  <c r="D16" i="2"/>
  <c r="L16" i="1"/>
  <c r="K16" i="1"/>
  <c r="J16" i="1"/>
  <c r="F16" i="1"/>
  <c r="E16" i="1"/>
  <c r="D16" i="1"/>
  <c r="L16" i="6"/>
  <c r="K16" i="6"/>
  <c r="J16" i="6"/>
  <c r="F16" i="6"/>
  <c r="E16" i="6"/>
  <c r="D16" i="6"/>
  <c r="D62" i="5"/>
  <c r="D63" i="5" s="1"/>
  <c r="F61" i="5"/>
  <c r="E61" i="5"/>
  <c r="D61" i="5"/>
  <c r="J44" i="5"/>
  <c r="K44" i="5"/>
  <c r="L44" i="5"/>
  <c r="L59" i="5" s="1"/>
  <c r="J59" i="5"/>
  <c r="K59" i="5"/>
  <c r="E59" i="5"/>
  <c r="F59" i="5"/>
  <c r="D59" i="5"/>
  <c r="J58" i="5"/>
  <c r="K58" i="5"/>
  <c r="L58" i="5"/>
  <c r="J16" i="5"/>
  <c r="K16" i="5"/>
  <c r="L16" i="5"/>
  <c r="J30" i="5"/>
  <c r="K30" i="5"/>
  <c r="L30" i="5"/>
  <c r="E58" i="5"/>
  <c r="F58" i="5"/>
  <c r="D58" i="5"/>
  <c r="E44" i="5"/>
  <c r="F44" i="5"/>
  <c r="D44" i="5"/>
  <c r="F30" i="5"/>
  <c r="E30" i="5"/>
  <c r="D30" i="5"/>
  <c r="E16" i="5"/>
  <c r="F16" i="5"/>
  <c r="D16" i="5"/>
  <c r="L57" i="8"/>
  <c r="F57" i="8"/>
  <c r="L56" i="8"/>
  <c r="F56" i="8"/>
  <c r="L55" i="8"/>
  <c r="F55" i="8"/>
  <c r="L54" i="8"/>
  <c r="F54" i="8"/>
  <c r="L53" i="8"/>
  <c r="F53" i="8"/>
  <c r="L52" i="8"/>
  <c r="F52" i="8"/>
  <c r="L51" i="8"/>
  <c r="F51" i="8"/>
  <c r="L50" i="8"/>
  <c r="F50" i="8"/>
  <c r="L49" i="8"/>
  <c r="F49" i="8"/>
  <c r="L48" i="8"/>
  <c r="F48" i="8"/>
  <c r="L43" i="8"/>
  <c r="F43" i="8"/>
  <c r="L42" i="8"/>
  <c r="F42" i="8"/>
  <c r="L41" i="8"/>
  <c r="F41" i="8"/>
  <c r="L40" i="8"/>
  <c r="F40" i="8"/>
  <c r="L39" i="8"/>
  <c r="F39" i="8"/>
  <c r="L38" i="8"/>
  <c r="F38" i="8"/>
  <c r="L37" i="8"/>
  <c r="F37" i="8"/>
  <c r="L36" i="8"/>
  <c r="F36" i="8"/>
  <c r="L35" i="8"/>
  <c r="F35" i="8"/>
  <c r="L34" i="8"/>
  <c r="F34" i="8"/>
  <c r="L29" i="8"/>
  <c r="F29" i="8"/>
  <c r="L28" i="8"/>
  <c r="F28" i="8"/>
  <c r="L27" i="8"/>
  <c r="F27" i="8"/>
  <c r="L26" i="8"/>
  <c r="F26" i="8"/>
  <c r="L25" i="8"/>
  <c r="F25" i="8"/>
  <c r="L24" i="8"/>
  <c r="F24" i="8"/>
  <c r="L23" i="8"/>
  <c r="F23" i="8"/>
  <c r="L22" i="8"/>
  <c r="F22" i="8"/>
  <c r="L21" i="8"/>
  <c r="F21" i="8"/>
  <c r="L20" i="8"/>
  <c r="F20" i="8"/>
  <c r="L15" i="8"/>
  <c r="F15" i="8"/>
  <c r="L14" i="8"/>
  <c r="F14" i="8"/>
  <c r="L13" i="8"/>
  <c r="F13" i="8"/>
  <c r="L12" i="8"/>
  <c r="F12" i="8"/>
  <c r="L11" i="8"/>
  <c r="F11" i="8"/>
  <c r="L10" i="8"/>
  <c r="F10" i="8"/>
  <c r="L9" i="8"/>
  <c r="F9" i="8"/>
  <c r="L8" i="8"/>
  <c r="F8" i="8"/>
  <c r="L7" i="8"/>
  <c r="F7" i="8"/>
  <c r="F6" i="8"/>
  <c r="L57" i="7"/>
  <c r="F57" i="7"/>
  <c r="L56" i="7"/>
  <c r="F56" i="7"/>
  <c r="L55" i="7"/>
  <c r="F55" i="7"/>
  <c r="L54" i="7"/>
  <c r="F54" i="7"/>
  <c r="L53" i="7"/>
  <c r="F53" i="7"/>
  <c r="L52" i="7"/>
  <c r="F52" i="7"/>
  <c r="L51" i="7"/>
  <c r="F51" i="7"/>
  <c r="L50" i="7"/>
  <c r="F50" i="7"/>
  <c r="L49" i="7"/>
  <c r="F49" i="7"/>
  <c r="L48" i="7"/>
  <c r="F48" i="7"/>
  <c r="L43" i="7"/>
  <c r="F43" i="7"/>
  <c r="L42" i="7"/>
  <c r="F42" i="7"/>
  <c r="L41" i="7"/>
  <c r="F41" i="7"/>
  <c r="L40" i="7"/>
  <c r="F40" i="7"/>
  <c r="L39" i="7"/>
  <c r="F39" i="7"/>
  <c r="L38" i="7"/>
  <c r="F38" i="7"/>
  <c r="L37" i="7"/>
  <c r="F37" i="7"/>
  <c r="L36" i="7"/>
  <c r="F36" i="7"/>
  <c r="L35" i="7"/>
  <c r="F35" i="7"/>
  <c r="L34" i="7"/>
  <c r="F34" i="7"/>
  <c r="L29" i="7"/>
  <c r="F29" i="7"/>
  <c r="L28" i="7"/>
  <c r="F28" i="7"/>
  <c r="L27" i="7"/>
  <c r="F27" i="7"/>
  <c r="L26" i="7"/>
  <c r="F26" i="7"/>
  <c r="L25" i="7"/>
  <c r="F25" i="7"/>
  <c r="L24" i="7"/>
  <c r="F24" i="7"/>
  <c r="L23" i="7"/>
  <c r="F23" i="7"/>
  <c r="L22" i="7"/>
  <c r="F22" i="7"/>
  <c r="L21" i="7"/>
  <c r="F21" i="7"/>
  <c r="L20" i="7"/>
  <c r="F20" i="7"/>
  <c r="L15" i="7"/>
  <c r="F15" i="7"/>
  <c r="L14" i="7"/>
  <c r="F14" i="7"/>
  <c r="L13" i="7"/>
  <c r="F13" i="7"/>
  <c r="L12" i="7"/>
  <c r="F12" i="7"/>
  <c r="L11" i="7"/>
  <c r="F11" i="7"/>
  <c r="L10" i="7"/>
  <c r="F10" i="7"/>
  <c r="L9" i="7"/>
  <c r="F9" i="7"/>
  <c r="L8" i="7"/>
  <c r="F8" i="7"/>
  <c r="L7" i="7"/>
  <c r="F7" i="7"/>
  <c r="F6" i="7"/>
  <c r="L57" i="6"/>
  <c r="F57" i="6"/>
  <c r="L56" i="6"/>
  <c r="F56" i="6"/>
  <c r="L55" i="6"/>
  <c r="F55" i="6"/>
  <c r="L54" i="6"/>
  <c r="F54" i="6"/>
  <c r="L53" i="6"/>
  <c r="F53" i="6"/>
  <c r="L52" i="6"/>
  <c r="F52" i="6"/>
  <c r="L51" i="6"/>
  <c r="F51" i="6"/>
  <c r="L50" i="6"/>
  <c r="F50" i="6"/>
  <c r="L49" i="6"/>
  <c r="F49" i="6"/>
  <c r="L48" i="6"/>
  <c r="F48" i="6"/>
  <c r="L43" i="6"/>
  <c r="F43" i="6"/>
  <c r="L42" i="6"/>
  <c r="F42" i="6"/>
  <c r="L41" i="6"/>
  <c r="F41" i="6"/>
  <c r="L40" i="6"/>
  <c r="F40" i="6"/>
  <c r="L39" i="6"/>
  <c r="F39" i="6"/>
  <c r="L38" i="6"/>
  <c r="F38" i="6"/>
  <c r="L37" i="6"/>
  <c r="F37" i="6"/>
  <c r="L36" i="6"/>
  <c r="F36" i="6"/>
  <c r="L35" i="6"/>
  <c r="F35" i="6"/>
  <c r="L34" i="6"/>
  <c r="F34" i="6"/>
  <c r="L29" i="6"/>
  <c r="F29" i="6"/>
  <c r="L28" i="6"/>
  <c r="F28" i="6"/>
  <c r="L27" i="6"/>
  <c r="F27" i="6"/>
  <c r="L26" i="6"/>
  <c r="F26" i="6"/>
  <c r="L25" i="6"/>
  <c r="F25" i="6"/>
  <c r="L24" i="6"/>
  <c r="F24" i="6"/>
  <c r="L23" i="6"/>
  <c r="F23" i="6"/>
  <c r="L22" i="6"/>
  <c r="F22" i="6"/>
  <c r="L21" i="6"/>
  <c r="F21" i="6"/>
  <c r="L20" i="6"/>
  <c r="F20" i="6"/>
  <c r="L15" i="6"/>
  <c r="F15" i="6"/>
  <c r="L14" i="6"/>
  <c r="F14" i="6"/>
  <c r="L13" i="6"/>
  <c r="F13" i="6"/>
  <c r="L12" i="6"/>
  <c r="F12" i="6"/>
  <c r="L11" i="6"/>
  <c r="F11" i="6"/>
  <c r="L10" i="6"/>
  <c r="F10" i="6"/>
  <c r="L9" i="6"/>
  <c r="F9" i="6"/>
  <c r="L8" i="6"/>
  <c r="F8" i="6"/>
  <c r="L7" i="6"/>
  <c r="F7" i="6"/>
  <c r="F6" i="6"/>
  <c r="L57" i="4"/>
  <c r="F57" i="4"/>
  <c r="L56" i="4"/>
  <c r="F56" i="4"/>
  <c r="L55" i="4"/>
  <c r="F55" i="4"/>
  <c r="L54" i="4"/>
  <c r="F54" i="4"/>
  <c r="L53" i="4"/>
  <c r="F53" i="4"/>
  <c r="L52" i="4"/>
  <c r="F52" i="4"/>
  <c r="L51" i="4"/>
  <c r="F51" i="4"/>
  <c r="L50" i="4"/>
  <c r="F50" i="4"/>
  <c r="L49" i="4"/>
  <c r="F49" i="4"/>
  <c r="L48" i="4"/>
  <c r="F48" i="4"/>
  <c r="L43" i="4"/>
  <c r="F43" i="4"/>
  <c r="L42" i="4"/>
  <c r="F42" i="4"/>
  <c r="L41" i="4"/>
  <c r="F41" i="4"/>
  <c r="L40" i="4"/>
  <c r="F40" i="4"/>
  <c r="L39" i="4"/>
  <c r="F39" i="4"/>
  <c r="L38" i="4"/>
  <c r="F38" i="4"/>
  <c r="L37" i="4"/>
  <c r="F37" i="4"/>
  <c r="L36" i="4"/>
  <c r="F36" i="4"/>
  <c r="L35" i="4"/>
  <c r="F35" i="4"/>
  <c r="L34" i="4"/>
  <c r="F34" i="4"/>
  <c r="L29" i="4"/>
  <c r="F29" i="4"/>
  <c r="L28" i="4"/>
  <c r="F28" i="4"/>
  <c r="L27" i="4"/>
  <c r="F27" i="4"/>
  <c r="L26" i="4"/>
  <c r="F26" i="4"/>
  <c r="L25" i="4"/>
  <c r="F25" i="4"/>
  <c r="L24" i="4"/>
  <c r="F24" i="4"/>
  <c r="L23" i="4"/>
  <c r="F23" i="4"/>
  <c r="L22" i="4"/>
  <c r="F22" i="4"/>
  <c r="L21" i="4"/>
  <c r="F21" i="4"/>
  <c r="L20" i="4"/>
  <c r="F20" i="4"/>
  <c r="L15" i="4"/>
  <c r="F15" i="4"/>
  <c r="L14" i="4"/>
  <c r="F14" i="4"/>
  <c r="L13" i="4"/>
  <c r="F13" i="4"/>
  <c r="L12" i="4"/>
  <c r="F12" i="4"/>
  <c r="L11" i="4"/>
  <c r="F11" i="4"/>
  <c r="L10" i="4"/>
  <c r="F10" i="4"/>
  <c r="L9" i="4"/>
  <c r="F9" i="4"/>
  <c r="L8" i="4"/>
  <c r="F8" i="4"/>
  <c r="L7" i="4"/>
  <c r="F7" i="4"/>
  <c r="F6" i="4"/>
  <c r="L57" i="3"/>
  <c r="F57" i="3"/>
  <c r="L56" i="3"/>
  <c r="F56" i="3"/>
  <c r="L55" i="3"/>
  <c r="F55" i="3"/>
  <c r="L54" i="3"/>
  <c r="F54" i="3"/>
  <c r="L53" i="3"/>
  <c r="F53" i="3"/>
  <c r="L52" i="3"/>
  <c r="F52" i="3"/>
  <c r="L51" i="3"/>
  <c r="F51" i="3"/>
  <c r="L50" i="3"/>
  <c r="F50" i="3"/>
  <c r="L49" i="3"/>
  <c r="F49" i="3"/>
  <c r="L48" i="3"/>
  <c r="F48" i="3"/>
  <c r="L43" i="3"/>
  <c r="F43" i="3"/>
  <c r="L42" i="3"/>
  <c r="F42" i="3"/>
  <c r="L41" i="3"/>
  <c r="F41" i="3"/>
  <c r="L40" i="3"/>
  <c r="F40" i="3"/>
  <c r="L39" i="3"/>
  <c r="F39" i="3"/>
  <c r="L38" i="3"/>
  <c r="F38" i="3"/>
  <c r="L37" i="3"/>
  <c r="F37" i="3"/>
  <c r="L36" i="3"/>
  <c r="F36" i="3"/>
  <c r="L35" i="3"/>
  <c r="F35" i="3"/>
  <c r="L34" i="3"/>
  <c r="F34" i="3"/>
  <c r="L29" i="3"/>
  <c r="F29" i="3"/>
  <c r="L28" i="3"/>
  <c r="F28" i="3"/>
  <c r="L27" i="3"/>
  <c r="F27" i="3"/>
  <c r="L26" i="3"/>
  <c r="F26" i="3"/>
  <c r="L25" i="3"/>
  <c r="F25" i="3"/>
  <c r="L24" i="3"/>
  <c r="F24" i="3"/>
  <c r="L23" i="3"/>
  <c r="F23" i="3"/>
  <c r="L22" i="3"/>
  <c r="F22" i="3"/>
  <c r="L21" i="3"/>
  <c r="F21" i="3"/>
  <c r="L20" i="3"/>
  <c r="F20" i="3"/>
  <c r="L15" i="3"/>
  <c r="F15" i="3"/>
  <c r="L14" i="3"/>
  <c r="F14" i="3"/>
  <c r="L13" i="3"/>
  <c r="F13" i="3"/>
  <c r="L12" i="3"/>
  <c r="F12" i="3"/>
  <c r="L11" i="3"/>
  <c r="F11" i="3"/>
  <c r="L10" i="3"/>
  <c r="F10" i="3"/>
  <c r="L9" i="3"/>
  <c r="F9" i="3"/>
  <c r="L8" i="3"/>
  <c r="F8" i="3"/>
  <c r="L7" i="3"/>
  <c r="F7" i="3"/>
  <c r="F6" i="3"/>
  <c r="L57" i="2"/>
  <c r="F57" i="2"/>
  <c r="L56" i="2"/>
  <c r="F56" i="2"/>
  <c r="L55" i="2"/>
  <c r="F55" i="2"/>
  <c r="L54" i="2"/>
  <c r="F54" i="2"/>
  <c r="L53" i="2"/>
  <c r="F53" i="2"/>
  <c r="L52" i="2"/>
  <c r="F52" i="2"/>
  <c r="L51" i="2"/>
  <c r="F51" i="2"/>
  <c r="L50" i="2"/>
  <c r="F50" i="2"/>
  <c r="L49" i="2"/>
  <c r="F49" i="2"/>
  <c r="L48" i="2"/>
  <c r="F48" i="2"/>
  <c r="L43" i="2"/>
  <c r="F43" i="2"/>
  <c r="L42" i="2"/>
  <c r="F42" i="2"/>
  <c r="L41" i="2"/>
  <c r="F41" i="2"/>
  <c r="L40" i="2"/>
  <c r="F40" i="2"/>
  <c r="L39" i="2"/>
  <c r="F39" i="2"/>
  <c r="L38" i="2"/>
  <c r="F38" i="2"/>
  <c r="L37" i="2"/>
  <c r="F37" i="2"/>
  <c r="L36" i="2"/>
  <c r="F36" i="2"/>
  <c r="L35" i="2"/>
  <c r="F35" i="2"/>
  <c r="L34" i="2"/>
  <c r="F34" i="2"/>
  <c r="L29" i="2"/>
  <c r="F29" i="2"/>
  <c r="L28" i="2"/>
  <c r="F28" i="2"/>
  <c r="L27" i="2"/>
  <c r="F27" i="2"/>
  <c r="L26" i="2"/>
  <c r="F26" i="2"/>
  <c r="L25" i="2"/>
  <c r="F25" i="2"/>
  <c r="L24" i="2"/>
  <c r="F24" i="2"/>
  <c r="L23" i="2"/>
  <c r="F23" i="2"/>
  <c r="L22" i="2"/>
  <c r="F22" i="2"/>
  <c r="L21" i="2"/>
  <c r="F21" i="2"/>
  <c r="L20" i="2"/>
  <c r="F20" i="2"/>
  <c r="L15" i="2"/>
  <c r="F15" i="2"/>
  <c r="L14" i="2"/>
  <c r="F14" i="2"/>
  <c r="L13" i="2"/>
  <c r="F13" i="2"/>
  <c r="L12" i="2"/>
  <c r="F12" i="2"/>
  <c r="L11" i="2"/>
  <c r="F11" i="2"/>
  <c r="L10" i="2"/>
  <c r="F10" i="2"/>
  <c r="L9" i="2"/>
  <c r="F9" i="2"/>
  <c r="L8" i="2"/>
  <c r="F8" i="2"/>
  <c r="L7" i="2"/>
  <c r="F7" i="2"/>
  <c r="F6" i="2"/>
  <c r="L57" i="1"/>
  <c r="F57" i="1"/>
  <c r="L56" i="1"/>
  <c r="F56" i="1"/>
  <c r="L55" i="1"/>
  <c r="F55" i="1"/>
  <c r="L54" i="1"/>
  <c r="F54" i="1"/>
  <c r="L53" i="1"/>
  <c r="F53" i="1"/>
  <c r="L52" i="1"/>
  <c r="F52" i="1"/>
  <c r="L51" i="1"/>
  <c r="F51" i="1"/>
  <c r="L50" i="1"/>
  <c r="F50" i="1"/>
  <c r="L49" i="1"/>
  <c r="F49" i="1"/>
  <c r="L48" i="1"/>
  <c r="F48" i="1"/>
  <c r="L43" i="1"/>
  <c r="F43" i="1"/>
  <c r="L42" i="1"/>
  <c r="F42" i="1"/>
  <c r="L41" i="1"/>
  <c r="F41" i="1"/>
  <c r="L40" i="1"/>
  <c r="F40" i="1"/>
  <c r="L39" i="1"/>
  <c r="F39" i="1"/>
  <c r="L38" i="1"/>
  <c r="F38" i="1"/>
  <c r="L37" i="1"/>
  <c r="F37" i="1"/>
  <c r="L36" i="1"/>
  <c r="F36" i="1"/>
  <c r="L35" i="1"/>
  <c r="F35" i="1"/>
  <c r="L34" i="1"/>
  <c r="F34" i="1"/>
  <c r="L29" i="1"/>
  <c r="F29" i="1"/>
  <c r="L28" i="1"/>
  <c r="F28" i="1"/>
  <c r="L27" i="1"/>
  <c r="F27" i="1"/>
  <c r="L26" i="1"/>
  <c r="F26" i="1"/>
  <c r="L25" i="1"/>
  <c r="F25" i="1"/>
  <c r="L24" i="1"/>
  <c r="F24" i="1"/>
  <c r="L23" i="1"/>
  <c r="F23" i="1"/>
  <c r="L22" i="1"/>
  <c r="F22" i="1"/>
  <c r="L21" i="1"/>
  <c r="F21" i="1"/>
  <c r="L20" i="1"/>
  <c r="F20" i="1"/>
  <c r="L15" i="1"/>
  <c r="F15" i="1"/>
  <c r="L14" i="1"/>
  <c r="F14" i="1"/>
  <c r="L13" i="1"/>
  <c r="F13" i="1"/>
  <c r="L12" i="1"/>
  <c r="F12" i="1"/>
  <c r="L11" i="1"/>
  <c r="F11" i="1"/>
  <c r="L10" i="1"/>
  <c r="F10" i="1"/>
  <c r="L9" i="1"/>
  <c r="F9" i="1"/>
  <c r="L8" i="1"/>
  <c r="F8" i="1"/>
  <c r="L7" i="1"/>
  <c r="F7" i="1"/>
  <c r="F6" i="1"/>
  <c r="H12" i="12" l="1"/>
  <c r="H7" i="12"/>
  <c r="H6" i="12"/>
  <c r="H13" i="12"/>
  <c r="H9" i="12"/>
  <c r="H11" i="12"/>
  <c r="H10" i="12"/>
  <c r="H8" i="12"/>
  <c r="K59" i="10"/>
  <c r="J59" i="10"/>
  <c r="E59" i="10"/>
  <c r="E61" i="10" s="1"/>
  <c r="D59" i="10"/>
  <c r="D61" i="10" s="1"/>
  <c r="F59" i="10"/>
  <c r="L59" i="10"/>
  <c r="K59" i="9"/>
  <c r="J59" i="9"/>
  <c r="E59" i="9"/>
  <c r="D59" i="9"/>
  <c r="L59" i="9"/>
  <c r="F59" i="9"/>
  <c r="D62" i="1"/>
  <c r="D62" i="8"/>
  <c r="D63" i="8" s="1"/>
  <c r="D62" i="7"/>
  <c r="D63" i="7" s="1"/>
  <c r="D62" i="6"/>
  <c r="D63" i="6" s="1"/>
  <c r="D62" i="4"/>
  <c r="D63" i="4" s="1"/>
  <c r="D62" i="3"/>
  <c r="D63" i="3" s="1"/>
  <c r="D62" i="2"/>
  <c r="D63" i="2" s="1"/>
  <c r="D63" i="1"/>
  <c r="D62" i="10" l="1"/>
  <c r="D63" i="10" s="1"/>
  <c r="F61" i="10"/>
  <c r="D61" i="9"/>
  <c r="E61" i="9"/>
  <c r="D62" i="9" s="1"/>
  <c r="D63" i="9" s="1"/>
  <c r="F61" i="9"/>
</calcChain>
</file>

<file path=xl/sharedStrings.xml><?xml version="1.0" encoding="utf-8"?>
<sst xmlns="http://schemas.openxmlformats.org/spreadsheetml/2006/main" count="1386" uniqueCount="52">
  <si>
    <t>IT SECTOR</t>
  </si>
  <si>
    <t>BUY</t>
  </si>
  <si>
    <t>SELL</t>
  </si>
  <si>
    <t>Q1</t>
  </si>
  <si>
    <t xml:space="preserve">SYMBOL </t>
  </si>
  <si>
    <t xml:space="preserve">BACKTEST P&amp;L </t>
  </si>
  <si>
    <t xml:space="preserve">TOTAL NUMBER OF TRADES </t>
  </si>
  <si>
    <t>NUMBER OF WINS</t>
  </si>
  <si>
    <t>NUMBER OF LOSSES</t>
  </si>
  <si>
    <t>TCS</t>
  </si>
  <si>
    <t>COFORGE</t>
  </si>
  <si>
    <t>Q2</t>
  </si>
  <si>
    <t>Q3</t>
  </si>
  <si>
    <t>Q4</t>
  </si>
  <si>
    <t>TOTAL OF BUY</t>
  </si>
  <si>
    <t>TOTAL SELLS</t>
  </si>
  <si>
    <t>TOTAL</t>
  </si>
  <si>
    <t>P OF WIN</t>
  </si>
  <si>
    <t>P OF LOST</t>
  </si>
  <si>
    <t>INFY</t>
  </si>
  <si>
    <t>HCLTECH</t>
  </si>
  <si>
    <t>WIPRO</t>
  </si>
  <si>
    <t>TECHM</t>
  </si>
  <si>
    <t>PERSISTENT</t>
  </si>
  <si>
    <t>OFSS</t>
  </si>
  <si>
    <t>MPHASIS</t>
  </si>
  <si>
    <t>HEXT</t>
  </si>
  <si>
    <t>Name</t>
  </si>
  <si>
    <t>Sayali Mhatre</t>
  </si>
  <si>
    <t>Roll No</t>
  </si>
  <si>
    <t>25PGDMFM052</t>
  </si>
  <si>
    <t>IT</t>
  </si>
  <si>
    <t>Sector</t>
  </si>
  <si>
    <t>Company Name</t>
  </si>
  <si>
    <t>HDFC LIFE</t>
  </si>
  <si>
    <t>FIIB</t>
  </si>
  <si>
    <t>College Name</t>
  </si>
  <si>
    <t>Sr. No.</t>
  </si>
  <si>
    <t>Ranking</t>
  </si>
  <si>
    <t>RSI</t>
  </si>
  <si>
    <t>Supertrend</t>
  </si>
  <si>
    <t>MA</t>
  </si>
  <si>
    <t>VWAP</t>
  </si>
  <si>
    <t>MACD</t>
  </si>
  <si>
    <t>S_RSI</t>
  </si>
  <si>
    <t>PP</t>
  </si>
  <si>
    <t>Awesome Alligator</t>
  </si>
  <si>
    <t>Bollinger</t>
  </si>
  <si>
    <t>CP</t>
  </si>
  <si>
    <r>
      <rPr>
        <b/>
        <sz val="11"/>
        <color theme="1"/>
        <rFont val="Arial"/>
        <family val="2"/>
        <scheme val="minor"/>
      </rPr>
      <t>CONCLUSION:</t>
    </r>
    <r>
      <rPr>
        <sz val="11"/>
        <color theme="1"/>
        <rFont val="Arial"/>
        <family val="2"/>
        <scheme val="minor"/>
      </rPr>
      <t xml:space="preserve">
The private bank sector stocks were backtested using 10 different technical indicators for a period of 1 year from 1st April 2025 to 31st March 2026. The indicators tested were RSI, Supertrend, VWAP, MA, MACD, S_RSI, Pivot Point (PP), Bollinger Bands, Awesome Alligator, and CP. Each indicator was evaluated based on its probability of win, probability of loss, and overall ranking. Based on the analysis, the S_RSI indicator showed the highest probability of win among all the indicators tested, with a win rate of 51% and a loss rate of only 49%, making it the top ranked indicator overall (Rank 1). This indicates that S_RSI was the most effective in identifying profitable trading opportunities and capturing trend movements in the private banking sector during the selected time period.
The second best performing indicator was CP with a win rate of 49%, followed by MA and Awesome Alligator, both at 48%, ranked 3rd and 4th respectively. These indicators also showed relatively better performance compared to the others and can be considered reasonably reliable for trading in this sector.
Indicators such as PP (46%) and Bollinger Bands (46%) showed similar win rates, ranked 5th and 6th respectively, suggesting moderate effectiveness in the private banking sector. RSI recorded a win rate of 45% and was ranked 7th, while Supertrend and MACD both recorded a win rate of 44%, ranked 8th and 9th respectively, indicating limited reliability during the studied period. VWAP recorded the lowest win rate of 43% and was ranked last (Rank 10) among all indicators, making it the least suitable indicator for trading in this sector during the studied time period.Therefore, the study concludes that S_RSI can be considered the most reliable and effective indicator for trading analysis in the private banking sector, as it outperformed all other indicators in terms of win probability. Traders and analysts focusing on private bank stocks may benefit most from incorporating S_RSI into their technical analysis framework during the studied period.</t>
    </r>
  </si>
  <si>
    <t>Probability 
of Win</t>
  </si>
  <si>
    <t>Probability 
of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</si>
</sst>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12"/>
      <color theme="1"/>
      <name val="Calibri"/>
      <family val="2"/>
    </font>
    <font>
      <b/>
      <sz val="12"/>
      <color rgb="FFFFFFFF"/>
      <name val="Calibri"/>
      <family val="2"/>
    </font>
    <font>
      <sz val="10"/>
      <name val="Arial"/>
      <family val="2"/>
    </font>
    <font>
      <sz val="11"/>
      <color theme="1"/>
      <name val="Aptos Narrow"/>
      <family val="2"/>
    </font>
    <font>
      <b/>
      <sz val="12"/>
      <color theme="1"/>
      <name val="Aptos Narrow"/>
      <family val="2"/>
    </font>
    <font>
      <u/>
      <sz val="12"/>
      <color rgb="FF0563C1"/>
      <name val="Times New Roman"/>
      <family val="1"/>
    </font>
    <font>
      <sz val="10"/>
      <color theme="1"/>
      <name val="Arial"/>
      <family val="2"/>
    </font>
    <font>
      <u/>
      <sz val="12"/>
      <color rgb="FF0563C1"/>
      <name val="Times New Roman"/>
      <family val="1"/>
    </font>
    <font>
      <sz val="10"/>
      <color theme="1"/>
      <name val="Arial"/>
      <family val="2"/>
    </font>
    <font>
      <sz val="11"/>
      <color theme="0"/>
      <name val="Arial"/>
      <family val="2"/>
      <scheme val="minor"/>
    </font>
    <font>
      <b/>
      <sz val="12"/>
      <color theme="1"/>
      <name val="Times New Roman"/>
      <family val="1"/>
    </font>
    <font>
      <sz val="12"/>
      <color theme="0"/>
      <name val="Times New Roman"/>
      <family val="1"/>
    </font>
    <font>
      <sz val="12"/>
      <color rgb="FF000000"/>
      <name val="Times New Roman"/>
      <family val="1"/>
    </font>
    <font>
      <sz val="12"/>
      <color theme="1"/>
      <name val="Times New Roman"/>
      <family val="1"/>
    </font>
    <font>
      <sz val="12"/>
      <name val="Times New Roman"/>
      <family val="1"/>
    </font>
    <font>
      <sz val="10"/>
      <color rgb="FF000000"/>
      <name val="Arial"/>
      <family val="2"/>
      <scheme val="minor"/>
    </font>
    <font>
      <b/>
      <sz val="11"/>
      <color theme="1"/>
      <name val="Arial"/>
      <family val="2"/>
      <scheme val="minor"/>
    </font>
    <font>
      <b/>
      <sz val="12"/>
      <color rgb="FFFFFFFF"/>
      <name val="Times New Roman"/>
      <family val="1"/>
    </font>
    <font>
      <sz val="11"/>
      <color rgb="FF000000"/>
      <name val="Calibri"/>
      <family val="2"/>
    </font>
    <font>
      <b/>
      <sz val="26"/>
      <color theme="1"/>
      <name val="Lucida Calligraphy"/>
      <family val="4"/>
    </font>
    <font>
      <b/>
      <sz val="26"/>
      <color theme="1"/>
      <name val="Times New Roman"/>
      <family val="1"/>
    </font>
    <font>
      <sz val="26"/>
      <color theme="1"/>
      <name val="Lucida Calligraphy"/>
      <family val="4"/>
    </font>
    <font>
      <sz val="26"/>
      <color theme="1"/>
      <name val="Times New Roman"/>
      <family val="1"/>
    </font>
    <font>
      <b/>
      <sz val="10"/>
      <color rgb="FF000000"/>
      <name val="Arial"/>
      <family val="2"/>
      <scheme val="minor"/>
    </font>
  </fonts>
  <fills count="15">
    <fill>
      <patternFill patternType="none"/>
    </fill>
    <fill>
      <patternFill patternType="gray125"/>
    </fill>
    <fill>
      <patternFill patternType="solid">
        <fgColor rgb="FF0563C1"/>
        <bgColor rgb="FF0563C1"/>
      </patternFill>
    </fill>
    <fill>
      <patternFill patternType="solid">
        <fgColor theme="4"/>
        <bgColor theme="4"/>
      </patternFill>
    </fill>
    <fill>
      <patternFill patternType="solid">
        <fgColor rgb="FFC9DAF8"/>
        <bgColor rgb="FFC9DAF8"/>
      </patternFill>
    </fill>
    <fill>
      <patternFill patternType="solid">
        <fgColor rgb="FFFBFBFB"/>
        <bgColor rgb="FFFBFBFB"/>
      </patternFill>
    </fill>
    <fill>
      <patternFill patternType="solid">
        <fgColor rgb="FFFFFFFF"/>
        <bgColor rgb="FFFFFFFF"/>
      </patternFill>
    </fill>
    <fill>
      <patternFill patternType="solid">
        <fgColor rgb="FF4285F4"/>
        <bgColor rgb="FF4285F4"/>
      </patternFill>
    </fill>
    <fill>
      <patternFill patternType="solid">
        <fgColor rgb="FFFFFF00"/>
        <bgColor rgb="FFFFFF00"/>
      </patternFill>
    </fill>
    <fill>
      <patternFill patternType="solid">
        <fgColor theme="4"/>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3">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3" fillId="9" borderId="0" applyNumberFormat="0" applyBorder="0" applyAlignment="0" applyProtection="0"/>
    <xf numFmtId="0" fontId="1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cellStyleXfs>
  <cellXfs count="73">
    <xf numFmtId="0" fontId="0" fillId="0" borderId="0" xfId="0"/>
    <xf numFmtId="0" fontId="4" fillId="0" borderId="0" xfId="0" applyFont="1"/>
    <xf numFmtId="0" fontId="7" fillId="0" borderId="0" xfId="0" applyFont="1"/>
    <xf numFmtId="0" fontId="7" fillId="0" borderId="4" xfId="0" applyFont="1" applyBorder="1"/>
    <xf numFmtId="0" fontId="7" fillId="0" borderId="5" xfId="0" applyFont="1" applyBorder="1"/>
    <xf numFmtId="0" fontId="4" fillId="4" borderId="6" xfId="0" applyFont="1" applyFill="1" applyBorder="1"/>
    <xf numFmtId="0" fontId="8" fillId="4" borderId="6" xfId="0" applyFont="1" applyFill="1" applyBorder="1"/>
    <xf numFmtId="0" fontId="9" fillId="5" borderId="7" xfId="0" applyFont="1" applyFill="1" applyBorder="1" applyAlignment="1">
      <alignment horizontal="center" wrapText="1"/>
    </xf>
    <xf numFmtId="0" fontId="10" fillId="0" borderId="0" xfId="0" applyFont="1"/>
    <xf numFmtId="0" fontId="10" fillId="0" borderId="8" xfId="0" applyFont="1" applyBorder="1"/>
    <xf numFmtId="0" fontId="11" fillId="6" borderId="7" xfId="0" applyFont="1" applyFill="1" applyBorder="1" applyAlignment="1">
      <alignment horizontal="center" wrapText="1"/>
    </xf>
    <xf numFmtId="0" fontId="10" fillId="0" borderId="9" xfId="0" applyFont="1" applyBorder="1"/>
    <xf numFmtId="0" fontId="10" fillId="0" borderId="10" xfId="0" applyFont="1" applyBorder="1"/>
    <xf numFmtId="0" fontId="10" fillId="0" borderId="4" xfId="0" applyFont="1" applyBorder="1"/>
    <xf numFmtId="0" fontId="10" fillId="0" borderId="5" xfId="0" applyFont="1" applyBorder="1"/>
    <xf numFmtId="0" fontId="10" fillId="0" borderId="0" xfId="0" applyFont="1" applyAlignment="1">
      <alignment horizontal="right"/>
    </xf>
    <xf numFmtId="0" fontId="10" fillId="0" borderId="8" xfId="0" applyFont="1" applyBorder="1" applyAlignment="1">
      <alignment horizontal="right"/>
    </xf>
    <xf numFmtId="0" fontId="10" fillId="0" borderId="9" xfId="0" applyFont="1" applyBorder="1" applyAlignment="1">
      <alignment horizontal="right"/>
    </xf>
    <xf numFmtId="0" fontId="10" fillId="0" borderId="10" xfId="0" applyFont="1" applyBorder="1" applyAlignment="1">
      <alignment horizontal="right"/>
    </xf>
    <xf numFmtId="0" fontId="12" fillId="0" borderId="0" xfId="0" applyFont="1"/>
    <xf numFmtId="0" fontId="9" fillId="6" borderId="7" xfId="0" applyFont="1" applyFill="1" applyBorder="1" applyAlignment="1">
      <alignment horizontal="center" wrapText="1"/>
    </xf>
    <xf numFmtId="0" fontId="14" fillId="0" borderId="0" xfId="0" applyFont="1"/>
    <xf numFmtId="0" fontId="14" fillId="3" borderId="3" xfId="0" applyFont="1" applyFill="1" applyBorder="1"/>
    <xf numFmtId="0" fontId="14" fillId="4" borderId="6" xfId="0" applyFont="1" applyFill="1" applyBorder="1"/>
    <xf numFmtId="0" fontId="14" fillId="7" borderId="3" xfId="0" applyFont="1" applyFill="1" applyBorder="1"/>
    <xf numFmtId="0" fontId="16" fillId="0" borderId="0" xfId="0" applyFont="1"/>
    <xf numFmtId="0" fontId="17" fillId="0" borderId="0" xfId="0" applyFont="1"/>
    <xf numFmtId="0" fontId="17" fillId="0" borderId="4" xfId="0" applyFont="1" applyBorder="1"/>
    <xf numFmtId="0" fontId="17" fillId="0" borderId="5" xfId="0" applyFont="1" applyBorder="1"/>
    <xf numFmtId="0" fontId="17" fillId="11" borderId="0" xfId="3" applyFont="1"/>
    <xf numFmtId="0" fontId="17" fillId="12" borderId="0" xfId="4" applyFont="1"/>
    <xf numFmtId="0" fontId="17" fillId="13" borderId="0" xfId="5" applyFont="1"/>
    <xf numFmtId="0" fontId="15" fillId="10" borderId="0" xfId="2" applyFont="1"/>
    <xf numFmtId="9" fontId="15" fillId="10" borderId="0" xfId="2" applyNumberFormat="1" applyFont="1"/>
    <xf numFmtId="0" fontId="17" fillId="0" borderId="8" xfId="0" applyFont="1" applyBorder="1"/>
    <xf numFmtId="0" fontId="17" fillId="0" borderId="9" xfId="0" applyFont="1" applyBorder="1"/>
    <xf numFmtId="0" fontId="17" fillId="0" borderId="10" xfId="0" applyFont="1" applyBorder="1"/>
    <xf numFmtId="0" fontId="17" fillId="0" borderId="0" xfId="0" applyFont="1" applyAlignment="1">
      <alignment horizontal="right"/>
    </xf>
    <xf numFmtId="0" fontId="17" fillId="0" borderId="8" xfId="0" applyFont="1" applyBorder="1" applyAlignment="1">
      <alignment horizontal="right"/>
    </xf>
    <xf numFmtId="0" fontId="17" fillId="0" borderId="9" xfId="0" applyFont="1" applyBorder="1" applyAlignment="1">
      <alignment horizontal="right"/>
    </xf>
    <xf numFmtId="0" fontId="17" fillId="0" borderId="10" xfId="0" applyFont="1" applyBorder="1" applyAlignment="1">
      <alignment horizontal="right"/>
    </xf>
    <xf numFmtId="0" fontId="17" fillId="8" borderId="4" xfId="0" applyFont="1" applyFill="1" applyBorder="1"/>
    <xf numFmtId="0" fontId="22" fillId="0" borderId="11" xfId="0" applyFont="1" applyBorder="1" applyAlignment="1">
      <alignment horizontal="right" wrapText="1"/>
    </xf>
    <xf numFmtId="0" fontId="14" fillId="0" borderId="0" xfId="0" applyFont="1" applyAlignment="1">
      <alignment horizontal="left" vertical="center"/>
    </xf>
    <xf numFmtId="0" fontId="14" fillId="0" borderId="11" xfId="0" applyFont="1" applyBorder="1" applyAlignment="1">
      <alignment horizontal="left" vertical="center" wrapText="1"/>
    </xf>
    <xf numFmtId="0" fontId="3" fillId="11" borderId="0" xfId="3"/>
    <xf numFmtId="0" fontId="23" fillId="11" borderId="0" xfId="3" applyFont="1"/>
    <xf numFmtId="0" fontId="24" fillId="11" borderId="0" xfId="3" applyFont="1"/>
    <xf numFmtId="0" fontId="25" fillId="11" borderId="0" xfId="3" applyFont="1"/>
    <xf numFmtId="0" fontId="26" fillId="11" borderId="0" xfId="3" applyFont="1"/>
    <xf numFmtId="0" fontId="3" fillId="11" borderId="0" xfId="3" applyAlignment="1">
      <alignment horizontal="center"/>
    </xf>
    <xf numFmtId="0" fontId="3" fillId="11" borderId="12" xfId="3" applyBorder="1" applyAlignment="1">
      <alignment horizontal="center"/>
    </xf>
    <xf numFmtId="0" fontId="2" fillId="11" borderId="12" xfId="3" applyFont="1" applyBorder="1" applyAlignment="1">
      <alignment horizontal="left"/>
    </xf>
    <xf numFmtId="9" fontId="3" fillId="11" borderId="12" xfId="3" applyNumberFormat="1" applyBorder="1" applyAlignment="1">
      <alignment horizontal="center"/>
    </xf>
    <xf numFmtId="0" fontId="19" fillId="14" borderId="0" xfId="0" applyFont="1" applyFill="1"/>
    <xf numFmtId="0" fontId="0" fillId="14" borderId="0" xfId="0" applyFill="1"/>
    <xf numFmtId="0" fontId="27" fillId="14" borderId="0" xfId="0" applyFont="1" applyFill="1"/>
    <xf numFmtId="0" fontId="3" fillId="11" borderId="0" xfId="3" applyAlignment="1"/>
    <xf numFmtId="0" fontId="2" fillId="11" borderId="0" xfId="3" applyFont="1" applyAlignment="1">
      <alignment wrapText="1"/>
    </xf>
    <xf numFmtId="0" fontId="21" fillId="2" borderId="1" xfId="0" applyFont="1" applyFill="1" applyBorder="1" applyAlignment="1">
      <alignment horizontal="center"/>
    </xf>
    <xf numFmtId="0" fontId="18" fillId="0" borderId="2" xfId="0" applyFont="1" applyBorder="1"/>
    <xf numFmtId="0" fontId="14" fillId="3" borderId="1" xfId="0" applyFont="1" applyFill="1" applyBorder="1" applyAlignment="1">
      <alignment horizontal="center"/>
    </xf>
    <xf numFmtId="0" fontId="21" fillId="2" borderId="7" xfId="0" applyFont="1" applyFill="1" applyBorder="1" applyAlignment="1">
      <alignment horizontal="center"/>
    </xf>
    <xf numFmtId="0" fontId="18" fillId="0" borderId="7" xfId="0" applyFont="1" applyBorder="1"/>
    <xf numFmtId="0" fontId="14" fillId="3" borderId="7" xfId="0" applyFont="1" applyFill="1" applyBorder="1" applyAlignment="1">
      <alignment horizontal="center"/>
    </xf>
    <xf numFmtId="0" fontId="5" fillId="2" borderId="1" xfId="0" applyFont="1" applyFill="1" applyBorder="1" applyAlignment="1">
      <alignment horizontal="center"/>
    </xf>
    <xf numFmtId="0" fontId="6" fillId="0" borderId="2" xfId="0" applyFont="1" applyBorder="1"/>
    <xf numFmtId="0" fontId="4" fillId="3" borderId="1" xfId="0" applyFont="1" applyFill="1" applyBorder="1" applyAlignment="1">
      <alignment horizontal="center"/>
    </xf>
    <xf numFmtId="0" fontId="15" fillId="9" borderId="1" xfId="1" applyFont="1" applyBorder="1" applyAlignment="1">
      <alignment horizontal="center"/>
    </xf>
    <xf numFmtId="0" fontId="15" fillId="9" borderId="2" xfId="1" applyFont="1" applyBorder="1"/>
    <xf numFmtId="0" fontId="20" fillId="11" borderId="12" xfId="3" applyFont="1" applyBorder="1" applyAlignment="1">
      <alignment horizontal="center"/>
    </xf>
    <xf numFmtId="0" fontId="20" fillId="11" borderId="12" xfId="3" applyFont="1" applyBorder="1" applyAlignment="1">
      <alignment horizontal="center" wrapText="1"/>
    </xf>
    <xf numFmtId="0" fontId="1" fillId="11" borderId="0" xfId="3" applyFont="1" applyAlignment="1">
      <alignment wrapText="1"/>
    </xf>
  </cellXfs>
  <cellStyles count="6">
    <cellStyle name="20% - Accent6" xfId="3" builtinId="50"/>
    <cellStyle name="40% - Accent6" xfId="4" builtinId="51"/>
    <cellStyle name="60% - Accent6" xfId="5" builtinId="52"/>
    <cellStyle name="Accent1" xfId="1" builtinId="29"/>
    <cellStyle name="Accent6" xfId="2" builtinId="4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1BF5-7BB0-4221-876F-C6B1BF875950}">
  <dimension ref="A1:AE59"/>
  <sheetViews>
    <sheetView workbookViewId="0">
      <selection activeCell="L11" sqref="L11"/>
    </sheetView>
  </sheetViews>
  <sheetFormatPr defaultRowHeight="13.2" x14ac:dyDescent="0.25"/>
  <cols>
    <col min="5" max="5" width="51.21875" customWidth="1"/>
  </cols>
  <sheetData>
    <row r="1" spans="1:31" ht="13.8" x14ac:dyDescent="0.2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row>
    <row r="2" spans="1:31" ht="13.8" x14ac:dyDescent="0.2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row>
    <row r="3" spans="1:31" ht="13.8" x14ac:dyDescent="0.25">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row>
    <row r="4" spans="1:31" ht="13.8" x14ac:dyDescent="0.25">
      <c r="A4" s="45"/>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row>
    <row r="5" spans="1:31" ht="37.200000000000003" x14ac:dyDescent="0.85">
      <c r="A5" s="45"/>
      <c r="B5" s="45"/>
      <c r="C5" s="45"/>
      <c r="D5" s="45"/>
      <c r="E5" s="46" t="s">
        <v>27</v>
      </c>
      <c r="F5" s="47" t="s">
        <v>28</v>
      </c>
      <c r="G5" s="47"/>
      <c r="H5" s="45"/>
      <c r="I5" s="45"/>
      <c r="J5" s="45"/>
      <c r="K5" s="45"/>
      <c r="L5" s="45"/>
      <c r="M5" s="45"/>
      <c r="N5" s="45"/>
      <c r="O5" s="45"/>
      <c r="P5" s="45"/>
      <c r="Q5" s="45"/>
      <c r="R5" s="45"/>
      <c r="S5" s="45"/>
      <c r="T5" s="45"/>
      <c r="U5" s="45"/>
      <c r="V5" s="45"/>
      <c r="W5" s="45"/>
      <c r="X5" s="45"/>
      <c r="Y5" s="45"/>
      <c r="Z5" s="45"/>
      <c r="AA5" s="45"/>
      <c r="AB5" s="45"/>
      <c r="AC5" s="45"/>
      <c r="AD5" s="45"/>
      <c r="AE5" s="45"/>
    </row>
    <row r="6" spans="1:31" ht="37.200000000000003" x14ac:dyDescent="0.85">
      <c r="A6" s="45"/>
      <c r="B6" s="45"/>
      <c r="C6" s="45"/>
      <c r="D6" s="45"/>
      <c r="E6" s="46" t="s">
        <v>29</v>
      </c>
      <c r="F6" s="47" t="s">
        <v>30</v>
      </c>
      <c r="G6" s="47"/>
      <c r="H6" s="45"/>
      <c r="I6" s="45"/>
      <c r="J6" s="45"/>
      <c r="K6" s="45"/>
      <c r="L6" s="45"/>
      <c r="M6" s="45"/>
      <c r="N6" s="45"/>
      <c r="O6" s="45"/>
      <c r="P6" s="45"/>
      <c r="Q6" s="45"/>
      <c r="R6" s="45"/>
      <c r="S6" s="45"/>
      <c r="T6" s="45"/>
      <c r="U6" s="45"/>
      <c r="V6" s="45"/>
      <c r="W6" s="45"/>
      <c r="X6" s="45"/>
      <c r="Y6" s="45"/>
      <c r="Z6" s="45"/>
      <c r="AA6" s="45"/>
      <c r="AB6" s="45"/>
      <c r="AC6" s="45"/>
      <c r="AD6" s="45"/>
      <c r="AE6" s="45"/>
    </row>
    <row r="7" spans="1:31" ht="37.200000000000003" x14ac:dyDescent="0.85">
      <c r="A7" s="45"/>
      <c r="B7" s="45"/>
      <c r="C7" s="45"/>
      <c r="D7" s="45"/>
      <c r="E7" s="46" t="s">
        <v>32</v>
      </c>
      <c r="F7" s="47" t="s">
        <v>31</v>
      </c>
      <c r="G7" s="47"/>
      <c r="H7" s="45"/>
      <c r="I7" s="45"/>
      <c r="J7" s="45"/>
      <c r="K7" s="45"/>
      <c r="L7" s="45"/>
      <c r="M7" s="45"/>
      <c r="N7" s="45"/>
      <c r="O7" s="45"/>
      <c r="P7" s="45"/>
      <c r="Q7" s="45"/>
      <c r="R7" s="45"/>
      <c r="S7" s="45"/>
      <c r="T7" s="45"/>
      <c r="U7" s="45"/>
      <c r="V7" s="45"/>
      <c r="W7" s="45"/>
      <c r="X7" s="45"/>
      <c r="Y7" s="45"/>
      <c r="Z7" s="45"/>
      <c r="AA7" s="45"/>
      <c r="AB7" s="45"/>
      <c r="AC7" s="45"/>
      <c r="AD7" s="45"/>
      <c r="AE7" s="45"/>
    </row>
    <row r="8" spans="1:31" ht="37.200000000000003" x14ac:dyDescent="0.85">
      <c r="A8" s="45"/>
      <c r="B8" s="45"/>
      <c r="C8" s="45"/>
      <c r="D8" s="45"/>
      <c r="E8" s="46" t="s">
        <v>33</v>
      </c>
      <c r="F8" s="47" t="s">
        <v>34</v>
      </c>
      <c r="G8" s="47"/>
      <c r="H8" s="45"/>
      <c r="I8" s="45"/>
      <c r="J8" s="45"/>
      <c r="K8" s="45"/>
      <c r="L8" s="45"/>
      <c r="M8" s="45"/>
      <c r="N8" s="45"/>
      <c r="O8" s="45"/>
      <c r="P8" s="45"/>
      <c r="Q8" s="45"/>
      <c r="R8" s="45"/>
      <c r="S8" s="45"/>
      <c r="T8" s="45"/>
      <c r="U8" s="45"/>
      <c r="V8" s="45"/>
      <c r="W8" s="45"/>
      <c r="X8" s="45"/>
      <c r="Y8" s="45"/>
      <c r="Z8" s="45"/>
      <c r="AA8" s="45"/>
      <c r="AB8" s="45"/>
      <c r="AC8" s="45"/>
      <c r="AD8" s="45"/>
      <c r="AE8" s="45"/>
    </row>
    <row r="9" spans="1:31" ht="37.200000000000003" x14ac:dyDescent="0.85">
      <c r="A9" s="45"/>
      <c r="B9" s="45"/>
      <c r="C9" s="45"/>
      <c r="D9" s="45"/>
      <c r="E9" s="46" t="s">
        <v>36</v>
      </c>
      <c r="F9" s="47" t="s">
        <v>35</v>
      </c>
      <c r="G9" s="47"/>
      <c r="H9" s="45"/>
      <c r="I9" s="45"/>
      <c r="J9" s="45"/>
      <c r="K9" s="45"/>
      <c r="L9" s="45"/>
      <c r="M9" s="45"/>
      <c r="N9" s="45"/>
      <c r="O9" s="45"/>
      <c r="P9" s="45"/>
      <c r="Q9" s="45"/>
      <c r="R9" s="45"/>
      <c r="S9" s="45"/>
      <c r="T9" s="45"/>
      <c r="U9" s="45"/>
      <c r="V9" s="45"/>
      <c r="W9" s="45"/>
      <c r="X9" s="45"/>
      <c r="Y9" s="45"/>
      <c r="Z9" s="45"/>
      <c r="AA9" s="45"/>
      <c r="AB9" s="45"/>
      <c r="AC9" s="45"/>
      <c r="AD9" s="45"/>
      <c r="AE9" s="45"/>
    </row>
    <row r="10" spans="1:31" ht="37.200000000000003" x14ac:dyDescent="0.85">
      <c r="A10" s="45"/>
      <c r="B10" s="45"/>
      <c r="C10" s="45"/>
      <c r="D10" s="45"/>
      <c r="E10" s="48"/>
      <c r="F10" s="49"/>
      <c r="G10" s="49"/>
      <c r="H10" s="45"/>
      <c r="I10" s="45"/>
      <c r="J10" s="45"/>
      <c r="K10" s="45"/>
      <c r="L10" s="45"/>
      <c r="M10" s="45"/>
      <c r="N10" s="45"/>
      <c r="O10" s="45"/>
      <c r="P10" s="45"/>
      <c r="Q10" s="45"/>
      <c r="R10" s="45"/>
      <c r="S10" s="45"/>
      <c r="T10" s="45"/>
      <c r="U10" s="45"/>
      <c r="V10" s="45"/>
      <c r="W10" s="45"/>
      <c r="X10" s="45"/>
      <c r="Y10" s="45"/>
      <c r="Z10" s="45"/>
      <c r="AA10" s="45"/>
      <c r="AB10" s="45"/>
      <c r="AC10" s="45"/>
      <c r="AD10" s="45"/>
      <c r="AE10" s="45"/>
    </row>
    <row r="11" spans="1:31" ht="13.8" x14ac:dyDescent="0.2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row>
    <row r="12" spans="1:31" ht="13.8" x14ac:dyDescent="0.25">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row>
    <row r="13" spans="1:31" ht="13.8" x14ac:dyDescent="0.25">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row>
    <row r="14" spans="1:31" ht="13.8" x14ac:dyDescent="0.25">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row>
    <row r="15" spans="1:31" ht="13.8" x14ac:dyDescent="0.2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row>
    <row r="16" spans="1:31" ht="13.8" x14ac:dyDescent="0.25">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row>
    <row r="17" spans="1:31" ht="13.8" x14ac:dyDescent="0.2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row>
    <row r="18" spans="1:31" ht="13.8" x14ac:dyDescent="0.25">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row>
    <row r="19" spans="1:31" ht="13.8" x14ac:dyDescent="0.2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row>
    <row r="20" spans="1:31" ht="13.8" x14ac:dyDescent="0.2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row>
    <row r="21" spans="1:31" ht="13.8" x14ac:dyDescent="0.25">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row>
    <row r="22" spans="1:31" ht="13.8" x14ac:dyDescent="0.25">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row>
    <row r="23" spans="1:31" ht="13.8" x14ac:dyDescent="0.25">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row>
    <row r="24" spans="1:31" ht="13.8" x14ac:dyDescent="0.25">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row>
    <row r="25" spans="1:31" ht="13.8" x14ac:dyDescent="0.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row>
    <row r="26" spans="1:31" ht="13.8" x14ac:dyDescent="0.2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row>
    <row r="27" spans="1:31" ht="13.8" x14ac:dyDescent="0.2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row>
    <row r="28" spans="1:31" ht="13.8" x14ac:dyDescent="0.2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row>
    <row r="29" spans="1:31" ht="13.8" x14ac:dyDescent="0.2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row>
    <row r="30" spans="1:31" ht="13.8" x14ac:dyDescent="0.2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row>
    <row r="31" spans="1:31" ht="13.8" x14ac:dyDescent="0.2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row>
    <row r="32" spans="1:31" ht="13.8" x14ac:dyDescent="0.2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row>
    <row r="33" spans="1:31" ht="13.8" x14ac:dyDescent="0.2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row>
    <row r="34" spans="1:31" ht="13.8" x14ac:dyDescent="0.2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row>
    <row r="35" spans="1:31" ht="13.8" x14ac:dyDescent="0.2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row>
    <row r="36" spans="1:31" ht="13.8" x14ac:dyDescent="0.2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row>
    <row r="37" spans="1:31" ht="13.8" x14ac:dyDescent="0.2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row>
    <row r="38" spans="1:31" ht="13.8" x14ac:dyDescent="0.2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row>
    <row r="39" spans="1:31" ht="13.8" x14ac:dyDescent="0.2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row>
    <row r="40" spans="1:31" ht="13.8" x14ac:dyDescent="0.2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row>
    <row r="41" spans="1:31" ht="13.8" x14ac:dyDescent="0.2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row>
    <row r="42" spans="1:31" ht="13.8" x14ac:dyDescent="0.2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row>
    <row r="43" spans="1:31" ht="13.8" x14ac:dyDescent="0.2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row>
    <row r="44" spans="1:31" ht="13.8" x14ac:dyDescent="0.2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row>
    <row r="45" spans="1:31" ht="13.8" x14ac:dyDescent="0.2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row>
    <row r="46" spans="1:31" ht="13.8" x14ac:dyDescent="0.2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row>
    <row r="47" spans="1:31" ht="13.8" x14ac:dyDescent="0.2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row>
    <row r="48" spans="1:31" ht="13.8" x14ac:dyDescent="0.2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row>
    <row r="49" spans="1:31" ht="13.8" x14ac:dyDescent="0.2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row>
    <row r="50" spans="1:31" ht="13.8" x14ac:dyDescent="0.2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row>
    <row r="51" spans="1:31" ht="13.8" x14ac:dyDescent="0.2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row>
    <row r="52" spans="1:31" ht="13.8" x14ac:dyDescent="0.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row>
    <row r="53" spans="1:31" ht="13.8" x14ac:dyDescent="0.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row>
    <row r="54" spans="1:31" ht="13.8" x14ac:dyDescent="0.2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row>
    <row r="55" spans="1:31" ht="13.8" x14ac:dyDescent="0.2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row>
    <row r="56" spans="1:31" ht="13.8" x14ac:dyDescent="0.2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row>
    <row r="57" spans="1:31" ht="13.8" x14ac:dyDescent="0.2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row>
    <row r="58" spans="1:31" ht="13.8" x14ac:dyDescent="0.2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row>
    <row r="59" spans="1:31" ht="13.8" x14ac:dyDescent="0.2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0"/>
  <sheetViews>
    <sheetView topLeftCell="A47" workbookViewId="0">
      <selection activeCell="D66" sqref="D66"/>
    </sheetView>
  </sheetViews>
  <sheetFormatPr defaultColWidth="12.6640625" defaultRowHeight="15" customHeight="1" x14ac:dyDescent="0.3"/>
  <cols>
    <col min="1" max="2" width="12.6640625" style="25"/>
    <col min="3" max="3" width="20.33203125" style="25" customWidth="1"/>
    <col min="4" max="4" width="33.109375" style="25" customWidth="1"/>
    <col min="5" max="5" width="20.77734375" style="25" customWidth="1"/>
    <col min="6" max="6" width="24.21875" style="25" customWidth="1"/>
    <col min="7" max="8" width="12.6640625" style="25"/>
    <col min="9" max="9" width="18.77734375" style="25" customWidth="1"/>
    <col min="10" max="10" width="32.44140625" style="25" customWidth="1"/>
    <col min="11" max="11" width="21.6640625" style="25" customWidth="1"/>
    <col min="12" max="12" width="23.109375" style="25" customWidth="1"/>
    <col min="13" max="16384" width="12.6640625" style="25"/>
  </cols>
  <sheetData>
    <row r="1" spans="1:12" ht="15.75" customHeight="1" x14ac:dyDescent="0.3">
      <c r="A1" s="21"/>
      <c r="B1" s="59" t="s">
        <v>0</v>
      </c>
      <c r="C1" s="60"/>
      <c r="D1" s="60"/>
      <c r="E1" s="60"/>
      <c r="F1" s="60"/>
      <c r="G1" s="60"/>
      <c r="H1" s="60"/>
      <c r="I1" s="60"/>
      <c r="J1" s="60"/>
      <c r="K1" s="60"/>
      <c r="L1" s="60"/>
    </row>
    <row r="2" spans="1:12" ht="15.75" customHeight="1" x14ac:dyDescent="0.3">
      <c r="A2" s="21"/>
      <c r="B2" s="21"/>
      <c r="C2" s="26"/>
      <c r="D2" s="26"/>
      <c r="E2" s="26"/>
      <c r="F2" s="26"/>
      <c r="H2" s="21"/>
    </row>
    <row r="3" spans="1:12" ht="15.75" customHeight="1" x14ac:dyDescent="0.3">
      <c r="A3" s="21"/>
      <c r="B3" s="61" t="s">
        <v>1</v>
      </c>
      <c r="C3" s="60"/>
      <c r="D3" s="60"/>
      <c r="E3" s="60"/>
      <c r="F3" s="60"/>
      <c r="H3" s="61" t="s">
        <v>2</v>
      </c>
      <c r="I3" s="60"/>
      <c r="J3" s="60"/>
      <c r="K3" s="60"/>
      <c r="L3" s="60"/>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112.2</v>
      </c>
      <c r="D6" s="26">
        <v>38</v>
      </c>
      <c r="E6" s="26">
        <v>17</v>
      </c>
      <c r="F6" s="34">
        <f t="shared" ref="F6:F15" si="0">D6-E6</f>
        <v>21</v>
      </c>
      <c r="H6" s="44" t="s">
        <v>9</v>
      </c>
      <c r="I6" s="26">
        <v>815.09</v>
      </c>
      <c r="J6" s="26">
        <v>39</v>
      </c>
      <c r="K6" s="26">
        <v>20</v>
      </c>
      <c r="L6" s="34">
        <v>19</v>
      </c>
    </row>
    <row r="7" spans="1:12" ht="15.75" customHeight="1" thickBot="1" x14ac:dyDescent="0.35">
      <c r="A7" s="20"/>
      <c r="B7" s="44" t="s">
        <v>19</v>
      </c>
      <c r="C7" s="26">
        <v>815.15</v>
      </c>
      <c r="D7" s="26">
        <v>36</v>
      </c>
      <c r="E7" s="26">
        <v>19</v>
      </c>
      <c r="F7" s="34">
        <f t="shared" si="0"/>
        <v>17</v>
      </c>
      <c r="H7" s="44" t="s">
        <v>19</v>
      </c>
      <c r="I7" s="26">
        <v>179.84</v>
      </c>
      <c r="J7" s="26">
        <v>42</v>
      </c>
      <c r="K7" s="26">
        <v>21</v>
      </c>
      <c r="L7" s="34">
        <f t="shared" ref="L7:L15" si="1">J7-K7</f>
        <v>21</v>
      </c>
    </row>
    <row r="8" spans="1:12" ht="15.75" customHeight="1" thickBot="1" x14ac:dyDescent="0.35">
      <c r="A8" s="7"/>
      <c r="B8" s="44" t="s">
        <v>20</v>
      </c>
      <c r="C8" s="26">
        <v>21</v>
      </c>
      <c r="D8" s="26">
        <v>42</v>
      </c>
      <c r="E8" s="26">
        <v>23</v>
      </c>
      <c r="F8" s="34">
        <f t="shared" si="0"/>
        <v>19</v>
      </c>
      <c r="H8" s="44" t="s">
        <v>20</v>
      </c>
      <c r="I8" s="26">
        <v>-278.5</v>
      </c>
      <c r="J8" s="26">
        <v>48</v>
      </c>
      <c r="K8" s="26">
        <v>19</v>
      </c>
      <c r="L8" s="34">
        <f t="shared" si="1"/>
        <v>29</v>
      </c>
    </row>
    <row r="9" spans="1:12" ht="15.75" customHeight="1" thickBot="1" x14ac:dyDescent="0.35">
      <c r="A9" s="20"/>
      <c r="B9" s="44" t="s">
        <v>21</v>
      </c>
      <c r="C9" s="26">
        <v>876.21</v>
      </c>
      <c r="D9" s="26">
        <v>38</v>
      </c>
      <c r="E9" s="26">
        <v>19</v>
      </c>
      <c r="F9" s="34">
        <f t="shared" si="0"/>
        <v>19</v>
      </c>
      <c r="H9" s="44" t="s">
        <v>21</v>
      </c>
      <c r="I9" s="26">
        <v>-889.05</v>
      </c>
      <c r="J9" s="26">
        <v>44</v>
      </c>
      <c r="K9" s="26">
        <v>19</v>
      </c>
      <c r="L9" s="34">
        <f t="shared" si="1"/>
        <v>25</v>
      </c>
    </row>
    <row r="10" spans="1:12" ht="15.75" customHeight="1" thickBot="1" x14ac:dyDescent="0.35">
      <c r="A10" s="7"/>
      <c r="B10" s="44" t="s">
        <v>22</v>
      </c>
      <c r="C10" s="26">
        <v>417.15</v>
      </c>
      <c r="D10" s="26">
        <v>40</v>
      </c>
      <c r="E10" s="26">
        <v>20</v>
      </c>
      <c r="F10" s="34">
        <f t="shared" si="0"/>
        <v>20</v>
      </c>
      <c r="H10" s="44" t="s">
        <v>22</v>
      </c>
      <c r="I10" s="26">
        <v>-1591.75</v>
      </c>
      <c r="J10" s="26">
        <v>63</v>
      </c>
      <c r="K10" s="26">
        <v>28</v>
      </c>
      <c r="L10" s="34">
        <f t="shared" si="1"/>
        <v>35</v>
      </c>
    </row>
    <row r="11" spans="1:12" ht="15.75" customHeight="1" thickBot="1" x14ac:dyDescent="0.35">
      <c r="A11" s="7"/>
      <c r="B11" s="44" t="s">
        <v>23</v>
      </c>
      <c r="C11" s="26">
        <v>-1403.89</v>
      </c>
      <c r="D11" s="26">
        <v>45</v>
      </c>
      <c r="E11" s="26">
        <v>14</v>
      </c>
      <c r="F11" s="34">
        <f t="shared" si="0"/>
        <v>31</v>
      </c>
      <c r="H11" s="44" t="s">
        <v>23</v>
      </c>
      <c r="I11" s="26">
        <v>-181.4</v>
      </c>
      <c r="J11" s="26">
        <v>55</v>
      </c>
      <c r="K11" s="26">
        <v>21</v>
      </c>
      <c r="L11" s="34">
        <f t="shared" si="1"/>
        <v>34</v>
      </c>
    </row>
    <row r="12" spans="1:12" ht="15.75" customHeight="1" thickBot="1" x14ac:dyDescent="0.35">
      <c r="A12" s="20"/>
      <c r="B12" s="44" t="s">
        <v>24</v>
      </c>
      <c r="C12" s="26">
        <v>768.5</v>
      </c>
      <c r="D12" s="26">
        <v>47</v>
      </c>
      <c r="E12" s="26">
        <v>22</v>
      </c>
      <c r="F12" s="34">
        <f t="shared" si="0"/>
        <v>25</v>
      </c>
      <c r="H12" s="44" t="s">
        <v>24</v>
      </c>
      <c r="I12" s="26">
        <v>1208.5</v>
      </c>
      <c r="J12" s="26">
        <v>63</v>
      </c>
      <c r="K12" s="26">
        <v>32</v>
      </c>
      <c r="L12" s="34">
        <f t="shared" si="1"/>
        <v>31</v>
      </c>
    </row>
    <row r="13" spans="1:12" ht="15.75" customHeight="1" thickBot="1" x14ac:dyDescent="0.35">
      <c r="A13" s="7"/>
      <c r="B13" s="44" t="s">
        <v>10</v>
      </c>
      <c r="C13" s="26">
        <v>2057.5500000000002</v>
      </c>
      <c r="D13" s="26">
        <v>42</v>
      </c>
      <c r="E13" s="26">
        <v>20</v>
      </c>
      <c r="F13" s="34">
        <f t="shared" si="0"/>
        <v>22</v>
      </c>
      <c r="H13" s="44" t="s">
        <v>10</v>
      </c>
      <c r="I13" s="26">
        <v>67.14</v>
      </c>
      <c r="J13" s="26">
        <v>62</v>
      </c>
      <c r="K13" s="26">
        <v>27</v>
      </c>
      <c r="L13" s="34">
        <f t="shared" si="1"/>
        <v>35</v>
      </c>
    </row>
    <row r="14" spans="1:12" ht="15.75" customHeight="1" thickBot="1" x14ac:dyDescent="0.35">
      <c r="A14" s="20"/>
      <c r="B14" s="44" t="s">
        <v>25</v>
      </c>
      <c r="C14" s="26">
        <v>-1262.75</v>
      </c>
      <c r="D14" s="26">
        <v>51</v>
      </c>
      <c r="E14" s="26">
        <v>20</v>
      </c>
      <c r="F14" s="34">
        <f t="shared" si="0"/>
        <v>31</v>
      </c>
      <c r="H14" s="44" t="s">
        <v>25</v>
      </c>
      <c r="I14" s="26">
        <v>584.45000000000005</v>
      </c>
      <c r="J14" s="26">
        <v>62</v>
      </c>
      <c r="K14" s="26">
        <v>29</v>
      </c>
      <c r="L14" s="34">
        <f t="shared" si="1"/>
        <v>33</v>
      </c>
    </row>
    <row r="15" spans="1:12" ht="15.75" customHeight="1" thickBot="1" x14ac:dyDescent="0.35">
      <c r="A15" s="7"/>
      <c r="B15" s="44" t="s">
        <v>26</v>
      </c>
      <c r="C15" s="35">
        <v>1471.45</v>
      </c>
      <c r="D15" s="35">
        <v>57</v>
      </c>
      <c r="E15" s="35">
        <v>25</v>
      </c>
      <c r="F15" s="36">
        <f t="shared" si="0"/>
        <v>32</v>
      </c>
      <c r="H15" s="44" t="s">
        <v>26</v>
      </c>
      <c r="I15" s="35">
        <v>-3022.8</v>
      </c>
      <c r="J15" s="35">
        <v>60</v>
      </c>
      <c r="K15" s="35">
        <v>22</v>
      </c>
      <c r="L15" s="36">
        <f t="shared" si="1"/>
        <v>38</v>
      </c>
    </row>
    <row r="16" spans="1:12" ht="12.75" customHeight="1" x14ac:dyDescent="0.3">
      <c r="D16" s="29">
        <f>SUM(D6:D15)</f>
        <v>436</v>
      </c>
      <c r="E16" s="29">
        <f t="shared" ref="E16:F16" si="2">SUM(E6:E15)</f>
        <v>199</v>
      </c>
      <c r="F16" s="29">
        <f t="shared" si="2"/>
        <v>237</v>
      </c>
      <c r="J16" s="29">
        <f t="shared" ref="J16:L16" si="3">SUM(J6:J15)</f>
        <v>538</v>
      </c>
      <c r="K16" s="29">
        <f t="shared" si="3"/>
        <v>238</v>
      </c>
      <c r="L16" s="29">
        <f t="shared" si="3"/>
        <v>300</v>
      </c>
    </row>
    <row r="17" spans="2:12" ht="15.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-1913.89</v>
      </c>
      <c r="D20" s="26">
        <v>46</v>
      </c>
      <c r="E20" s="26">
        <v>18</v>
      </c>
      <c r="F20" s="34">
        <f t="shared" ref="F20:F29" si="4">D20-E20</f>
        <v>28</v>
      </c>
      <c r="H20" s="44" t="s">
        <v>9</v>
      </c>
      <c r="I20" s="26">
        <v>670.5</v>
      </c>
      <c r="J20" s="26">
        <v>34</v>
      </c>
      <c r="K20" s="26">
        <v>18</v>
      </c>
      <c r="L20" s="34">
        <f t="shared" ref="L20:L29" si="5">J20-K20</f>
        <v>16</v>
      </c>
    </row>
    <row r="21" spans="2:12" ht="15.75" customHeight="1" thickBot="1" x14ac:dyDescent="0.35">
      <c r="B21" s="44" t="s">
        <v>19</v>
      </c>
      <c r="C21" s="26">
        <v>-1427.49</v>
      </c>
      <c r="D21" s="26">
        <v>56</v>
      </c>
      <c r="E21" s="26">
        <v>22</v>
      </c>
      <c r="F21" s="34">
        <f t="shared" si="4"/>
        <v>34</v>
      </c>
      <c r="H21" s="44" t="s">
        <v>19</v>
      </c>
      <c r="I21" s="26">
        <v>-198.35</v>
      </c>
      <c r="J21" s="26">
        <v>40</v>
      </c>
      <c r="K21" s="26">
        <v>24</v>
      </c>
      <c r="L21" s="34">
        <f t="shared" si="5"/>
        <v>16</v>
      </c>
    </row>
    <row r="22" spans="2:12" ht="15.75" customHeight="1" thickBot="1" x14ac:dyDescent="0.35">
      <c r="B22" s="44" t="s">
        <v>20</v>
      </c>
      <c r="C22" s="26">
        <v>-1093.3399999999999</v>
      </c>
      <c r="D22" s="26">
        <v>57</v>
      </c>
      <c r="E22" s="26">
        <v>23</v>
      </c>
      <c r="F22" s="34">
        <f t="shared" si="4"/>
        <v>34</v>
      </c>
      <c r="H22" s="44" t="s">
        <v>20</v>
      </c>
      <c r="I22" s="26">
        <v>122.3</v>
      </c>
      <c r="J22" s="26">
        <v>25</v>
      </c>
      <c r="K22" s="26">
        <v>13</v>
      </c>
      <c r="L22" s="34">
        <f t="shared" si="5"/>
        <v>12</v>
      </c>
    </row>
    <row r="23" spans="2:12" ht="15.75" customHeight="1" thickBot="1" x14ac:dyDescent="0.35">
      <c r="B23" s="44" t="s">
        <v>21</v>
      </c>
      <c r="C23" s="26">
        <v>-1925.96</v>
      </c>
      <c r="D23" s="26">
        <v>46</v>
      </c>
      <c r="E23" s="26">
        <v>18</v>
      </c>
      <c r="F23" s="34">
        <f t="shared" si="4"/>
        <v>28</v>
      </c>
      <c r="H23" s="44" t="s">
        <v>21</v>
      </c>
      <c r="I23" s="26">
        <v>1471.73</v>
      </c>
      <c r="J23" s="26">
        <v>32</v>
      </c>
      <c r="K23" s="26">
        <v>20</v>
      </c>
      <c r="L23" s="34">
        <f t="shared" si="5"/>
        <v>12</v>
      </c>
    </row>
    <row r="24" spans="2:12" ht="15.75" customHeight="1" thickBot="1" x14ac:dyDescent="0.35">
      <c r="B24" s="44" t="s">
        <v>22</v>
      </c>
      <c r="C24" s="26">
        <v>-1512.94</v>
      </c>
      <c r="D24" s="26">
        <v>53</v>
      </c>
      <c r="E24" s="26">
        <v>23</v>
      </c>
      <c r="F24" s="34">
        <f t="shared" si="4"/>
        <v>30</v>
      </c>
      <c r="H24" s="44" t="s">
        <v>22</v>
      </c>
      <c r="I24" s="26">
        <v>-1341.75</v>
      </c>
      <c r="J24" s="26">
        <v>38</v>
      </c>
      <c r="K24" s="26">
        <v>23</v>
      </c>
      <c r="L24" s="34">
        <f t="shared" si="5"/>
        <v>15</v>
      </c>
    </row>
    <row r="25" spans="2:12" ht="15.75" customHeight="1" thickBot="1" x14ac:dyDescent="0.35">
      <c r="B25" s="44" t="s">
        <v>23</v>
      </c>
      <c r="C25" s="26">
        <v>-475.59</v>
      </c>
      <c r="D25" s="26">
        <v>49</v>
      </c>
      <c r="E25" s="26">
        <v>19</v>
      </c>
      <c r="F25" s="34">
        <f t="shared" si="4"/>
        <v>30</v>
      </c>
      <c r="H25" s="44" t="s">
        <v>23</v>
      </c>
      <c r="I25" s="26">
        <v>1210.8</v>
      </c>
      <c r="J25" s="26">
        <v>38</v>
      </c>
      <c r="K25" s="26">
        <v>21</v>
      </c>
      <c r="L25" s="34">
        <f t="shared" si="5"/>
        <v>17</v>
      </c>
    </row>
    <row r="26" spans="2:12" ht="15.75" customHeight="1" thickBot="1" x14ac:dyDescent="0.35">
      <c r="B26" s="44" t="s">
        <v>24</v>
      </c>
      <c r="C26" s="26">
        <v>-457.6</v>
      </c>
      <c r="D26" s="26">
        <v>55</v>
      </c>
      <c r="E26" s="26">
        <v>23</v>
      </c>
      <c r="F26" s="34">
        <f t="shared" si="4"/>
        <v>32</v>
      </c>
      <c r="H26" s="44" t="s">
        <v>24</v>
      </c>
      <c r="I26" s="26">
        <v>1752.6</v>
      </c>
      <c r="J26" s="26">
        <v>35</v>
      </c>
      <c r="K26" s="26">
        <v>20</v>
      </c>
      <c r="L26" s="34">
        <f t="shared" si="5"/>
        <v>15</v>
      </c>
    </row>
    <row r="27" spans="2:12" ht="15.75" customHeight="1" thickBot="1" x14ac:dyDescent="0.35">
      <c r="B27" s="44" t="s">
        <v>10</v>
      </c>
      <c r="C27" s="26">
        <v>-1585.25</v>
      </c>
      <c r="D27" s="26">
        <v>57</v>
      </c>
      <c r="E27" s="26">
        <v>17</v>
      </c>
      <c r="F27" s="34">
        <f t="shared" si="4"/>
        <v>40</v>
      </c>
      <c r="H27" s="44" t="s">
        <v>10</v>
      </c>
      <c r="I27" s="26">
        <v>-177.8</v>
      </c>
      <c r="J27" s="26">
        <v>47</v>
      </c>
      <c r="K27" s="26">
        <v>22</v>
      </c>
      <c r="L27" s="34">
        <f t="shared" si="5"/>
        <v>25</v>
      </c>
    </row>
    <row r="28" spans="2:12" ht="15.75" customHeight="1" thickBot="1" x14ac:dyDescent="0.35">
      <c r="B28" s="44" t="s">
        <v>25</v>
      </c>
      <c r="C28" s="26">
        <v>734.55</v>
      </c>
      <c r="D28" s="26">
        <v>47</v>
      </c>
      <c r="E28" s="26">
        <v>21</v>
      </c>
      <c r="F28" s="34">
        <f t="shared" si="4"/>
        <v>26</v>
      </c>
      <c r="H28" s="44" t="s">
        <v>25</v>
      </c>
      <c r="I28" s="26">
        <v>523.94000000000005</v>
      </c>
      <c r="J28" s="26">
        <v>45</v>
      </c>
      <c r="K28" s="26">
        <v>20</v>
      </c>
      <c r="L28" s="34">
        <f t="shared" si="5"/>
        <v>25</v>
      </c>
    </row>
    <row r="29" spans="2:12" ht="15.75" customHeight="1" thickBot="1" x14ac:dyDescent="0.35">
      <c r="B29" s="44" t="s">
        <v>26</v>
      </c>
      <c r="C29" s="35">
        <v>-1326.95</v>
      </c>
      <c r="D29" s="35">
        <v>64</v>
      </c>
      <c r="E29" s="35">
        <v>24</v>
      </c>
      <c r="F29" s="36">
        <f t="shared" si="4"/>
        <v>40</v>
      </c>
      <c r="H29" s="44" t="s">
        <v>26</v>
      </c>
      <c r="I29" s="35">
        <v>-887.15</v>
      </c>
      <c r="J29" s="35">
        <v>47</v>
      </c>
      <c r="K29" s="35">
        <v>18</v>
      </c>
      <c r="L29" s="36">
        <f t="shared" si="5"/>
        <v>29</v>
      </c>
    </row>
    <row r="30" spans="2:12" ht="12.75" customHeight="1" x14ac:dyDescent="0.3">
      <c r="D30" s="29">
        <f>SUM(D20:D29)</f>
        <v>530</v>
      </c>
      <c r="E30" s="29">
        <f>SUM(E20:E29)</f>
        <v>208</v>
      </c>
      <c r="F30" s="29">
        <f>SUM(F20:F29)</f>
        <v>322</v>
      </c>
      <c r="J30" s="29">
        <f t="shared" ref="J30:L30" si="6">SUM(J20:J29)</f>
        <v>381</v>
      </c>
      <c r="K30" s="29">
        <f t="shared" si="6"/>
        <v>199</v>
      </c>
      <c r="L30" s="29">
        <f t="shared" si="6"/>
        <v>182</v>
      </c>
    </row>
    <row r="31" spans="2:12" ht="15.75" customHeight="1" x14ac:dyDescent="0.3"/>
    <row r="32" spans="2:12" ht="15.75" customHeight="1" x14ac:dyDescent="0.3">
      <c r="B32" s="22" t="s">
        <v>12</v>
      </c>
      <c r="C32" s="27"/>
      <c r="D32" s="27"/>
      <c r="E32" s="27"/>
      <c r="F32" s="28"/>
      <c r="H32" s="22" t="s">
        <v>12</v>
      </c>
      <c r="I32" s="27"/>
      <c r="J32" s="27"/>
      <c r="K32" s="27"/>
      <c r="L32" s="28"/>
    </row>
    <row r="33" spans="2:12" ht="15.75" customHeight="1" thickBot="1" x14ac:dyDescent="0.35">
      <c r="B33" s="23" t="s">
        <v>4</v>
      </c>
      <c r="C33" s="23" t="s">
        <v>5</v>
      </c>
      <c r="D33" s="23" t="s">
        <v>6</v>
      </c>
      <c r="E33" s="23" t="s">
        <v>7</v>
      </c>
      <c r="F33" s="23" t="s">
        <v>8</v>
      </c>
      <c r="H33" s="23" t="s">
        <v>4</v>
      </c>
      <c r="I33" s="23" t="s">
        <v>5</v>
      </c>
      <c r="J33" s="23" t="s">
        <v>6</v>
      </c>
      <c r="K33" s="23" t="s">
        <v>7</v>
      </c>
      <c r="L33" s="23" t="s">
        <v>8</v>
      </c>
    </row>
    <row r="34" spans="2:12" ht="15.75" customHeight="1" thickBot="1" x14ac:dyDescent="0.35">
      <c r="B34" s="44" t="s">
        <v>9</v>
      </c>
      <c r="C34" s="26">
        <v>-388.64</v>
      </c>
      <c r="D34" s="26">
        <v>31</v>
      </c>
      <c r="E34" s="26">
        <v>18</v>
      </c>
      <c r="F34" s="34">
        <f t="shared" ref="F34:F43" si="7">D34-E34</f>
        <v>13</v>
      </c>
      <c r="H34" s="44" t="s">
        <v>9</v>
      </c>
      <c r="I34" s="26">
        <v>-1680.7</v>
      </c>
      <c r="J34" s="26">
        <v>39</v>
      </c>
      <c r="K34" s="26">
        <v>16</v>
      </c>
      <c r="L34" s="34">
        <f t="shared" ref="L34:L43" si="8">J34-K34</f>
        <v>23</v>
      </c>
    </row>
    <row r="35" spans="2:12" ht="15.75" customHeight="1" thickBot="1" x14ac:dyDescent="0.35">
      <c r="B35" s="44" t="s">
        <v>19</v>
      </c>
      <c r="C35" s="26">
        <v>-100.8</v>
      </c>
      <c r="D35" s="26">
        <v>32</v>
      </c>
      <c r="E35" s="26">
        <v>18</v>
      </c>
      <c r="F35" s="34">
        <f t="shared" si="7"/>
        <v>14</v>
      </c>
      <c r="H35" s="44" t="s">
        <v>19</v>
      </c>
      <c r="I35" s="26">
        <v>-1062.55</v>
      </c>
      <c r="J35" s="26">
        <v>47</v>
      </c>
      <c r="K35" s="26">
        <v>21</v>
      </c>
      <c r="L35" s="34">
        <f t="shared" si="8"/>
        <v>26</v>
      </c>
    </row>
    <row r="36" spans="2:12" ht="15.75" customHeight="1" thickBot="1" x14ac:dyDescent="0.35">
      <c r="B36" s="44" t="s">
        <v>20</v>
      </c>
      <c r="C36" s="26">
        <v>37.75</v>
      </c>
      <c r="D36" s="26">
        <v>57</v>
      </c>
      <c r="E36" s="26">
        <v>23</v>
      </c>
      <c r="F36" s="34">
        <f t="shared" si="7"/>
        <v>34</v>
      </c>
      <c r="H36" s="44" t="s">
        <v>20</v>
      </c>
      <c r="I36" s="26">
        <v>-1341.85</v>
      </c>
      <c r="J36" s="26">
        <v>46</v>
      </c>
      <c r="K36" s="26">
        <v>17</v>
      </c>
      <c r="L36" s="34">
        <f t="shared" si="8"/>
        <v>29</v>
      </c>
    </row>
    <row r="37" spans="2:12" ht="15.75" customHeight="1" thickBot="1" x14ac:dyDescent="0.35">
      <c r="B37" s="44" t="s">
        <v>21</v>
      </c>
      <c r="C37" s="26">
        <v>306.54000000000002</v>
      </c>
      <c r="D37" s="26">
        <v>23</v>
      </c>
      <c r="E37" s="26">
        <v>15</v>
      </c>
      <c r="F37" s="34">
        <f t="shared" si="7"/>
        <v>8</v>
      </c>
      <c r="H37" s="44" t="s">
        <v>21</v>
      </c>
      <c r="I37" s="26">
        <v>-199.58</v>
      </c>
      <c r="J37" s="26">
        <v>46</v>
      </c>
      <c r="K37" s="26">
        <v>25</v>
      </c>
      <c r="L37" s="34">
        <f t="shared" si="8"/>
        <v>21</v>
      </c>
    </row>
    <row r="38" spans="2:12" ht="15.75" customHeight="1" thickBot="1" x14ac:dyDescent="0.35">
      <c r="B38" s="44" t="s">
        <v>22</v>
      </c>
      <c r="C38" s="26">
        <v>-416.6</v>
      </c>
      <c r="D38" s="26">
        <v>30</v>
      </c>
      <c r="E38" s="26">
        <v>11</v>
      </c>
      <c r="F38" s="34">
        <f t="shared" si="7"/>
        <v>19</v>
      </c>
      <c r="H38" s="44" t="s">
        <v>22</v>
      </c>
      <c r="I38" s="26">
        <v>-672.4</v>
      </c>
      <c r="J38" s="26">
        <v>35</v>
      </c>
      <c r="K38" s="26">
        <v>17</v>
      </c>
      <c r="L38" s="34">
        <f t="shared" si="8"/>
        <v>18</v>
      </c>
    </row>
    <row r="39" spans="2:12" ht="15.75" customHeight="1" thickBot="1" x14ac:dyDescent="0.35">
      <c r="B39" s="44" t="s">
        <v>23</v>
      </c>
      <c r="C39" s="26">
        <v>-2444.85</v>
      </c>
      <c r="D39" s="26">
        <v>47</v>
      </c>
      <c r="E39" s="26">
        <v>16</v>
      </c>
      <c r="F39" s="34">
        <f t="shared" si="7"/>
        <v>31</v>
      </c>
      <c r="H39" s="44" t="s">
        <v>23</v>
      </c>
      <c r="I39" s="26">
        <v>429.35</v>
      </c>
      <c r="J39" s="26">
        <v>40</v>
      </c>
      <c r="K39" s="26">
        <v>18</v>
      </c>
      <c r="L39" s="34">
        <f t="shared" si="8"/>
        <v>22</v>
      </c>
    </row>
    <row r="40" spans="2:12" ht="15.75" customHeight="1" thickBot="1" x14ac:dyDescent="0.35">
      <c r="B40" s="44" t="s">
        <v>24</v>
      </c>
      <c r="C40" s="26">
        <v>746.2</v>
      </c>
      <c r="D40" s="26">
        <v>36</v>
      </c>
      <c r="E40" s="26">
        <v>19</v>
      </c>
      <c r="F40" s="34">
        <f t="shared" si="7"/>
        <v>17</v>
      </c>
      <c r="H40" s="44" t="s">
        <v>24</v>
      </c>
      <c r="I40" s="26">
        <v>-1303.6500000000001</v>
      </c>
      <c r="J40" s="26">
        <v>41</v>
      </c>
      <c r="K40" s="26">
        <v>13</v>
      </c>
      <c r="L40" s="34">
        <f t="shared" si="8"/>
        <v>28</v>
      </c>
    </row>
    <row r="41" spans="2:12" ht="15.75" customHeight="1" thickBot="1" x14ac:dyDescent="0.35">
      <c r="B41" s="44" t="s">
        <v>10</v>
      </c>
      <c r="C41" s="26">
        <v>-917.65</v>
      </c>
      <c r="D41" s="26">
        <v>40</v>
      </c>
      <c r="E41" s="26">
        <v>18</v>
      </c>
      <c r="F41" s="34">
        <f t="shared" si="7"/>
        <v>22</v>
      </c>
      <c r="H41" s="44" t="s">
        <v>10</v>
      </c>
      <c r="I41" s="26">
        <v>-1651.25</v>
      </c>
      <c r="J41" s="26">
        <v>51</v>
      </c>
      <c r="K41" s="26">
        <v>22</v>
      </c>
      <c r="L41" s="34">
        <f t="shared" si="8"/>
        <v>29</v>
      </c>
    </row>
    <row r="42" spans="2:12" ht="15.75" customHeight="1" thickBot="1" x14ac:dyDescent="0.35">
      <c r="B42" s="44" t="s">
        <v>25</v>
      </c>
      <c r="C42" s="26">
        <v>734.55</v>
      </c>
      <c r="D42" s="26">
        <v>51</v>
      </c>
      <c r="E42" s="26">
        <v>20</v>
      </c>
      <c r="F42" s="34">
        <f t="shared" si="7"/>
        <v>31</v>
      </c>
      <c r="H42" s="44" t="s">
        <v>25</v>
      </c>
      <c r="I42" s="26">
        <v>-238.8</v>
      </c>
      <c r="J42" s="26">
        <v>40</v>
      </c>
      <c r="K42" s="26">
        <v>19</v>
      </c>
      <c r="L42" s="34">
        <f t="shared" si="8"/>
        <v>21</v>
      </c>
    </row>
    <row r="43" spans="2:12" ht="15.75" customHeight="1" thickBot="1" x14ac:dyDescent="0.35">
      <c r="B43" s="44" t="s">
        <v>26</v>
      </c>
      <c r="C43" s="35">
        <v>-1326.95</v>
      </c>
      <c r="D43" s="35">
        <v>51</v>
      </c>
      <c r="E43" s="35">
        <v>21</v>
      </c>
      <c r="F43" s="36">
        <f t="shared" si="7"/>
        <v>30</v>
      </c>
      <c r="H43" s="44" t="s">
        <v>26</v>
      </c>
      <c r="I43" s="35">
        <v>-5040.45</v>
      </c>
      <c r="J43" s="35">
        <v>63</v>
      </c>
      <c r="K43" s="35">
        <v>15</v>
      </c>
      <c r="L43" s="36">
        <f t="shared" si="8"/>
        <v>48</v>
      </c>
    </row>
    <row r="44" spans="2:12" ht="12.75" customHeight="1" x14ac:dyDescent="0.3">
      <c r="D44" s="29">
        <f>SUM(D34:D43)</f>
        <v>398</v>
      </c>
      <c r="E44" s="29">
        <f>SUM(E34:E43)</f>
        <v>179</v>
      </c>
      <c r="F44" s="29">
        <f>SUM(F34:F43)</f>
        <v>219</v>
      </c>
      <c r="J44" s="29">
        <f t="shared" ref="J44:L44" si="9">SUM(J34:J43)</f>
        <v>448</v>
      </c>
      <c r="K44" s="29">
        <f t="shared" si="9"/>
        <v>183</v>
      </c>
      <c r="L44" s="29">
        <f t="shared" si="9"/>
        <v>265</v>
      </c>
    </row>
    <row r="45" spans="2:12" ht="15.75" customHeight="1" x14ac:dyDescent="0.3"/>
    <row r="46" spans="2:12" ht="15.75" customHeight="1" x14ac:dyDescent="0.3">
      <c r="B46" s="24" t="s">
        <v>13</v>
      </c>
      <c r="C46" s="27"/>
      <c r="D46" s="27"/>
      <c r="E46" s="27"/>
      <c r="F46" s="28"/>
      <c r="H46" s="24" t="s">
        <v>13</v>
      </c>
      <c r="I46" s="27"/>
      <c r="J46" s="27"/>
      <c r="K46" s="27"/>
      <c r="L46" s="28"/>
    </row>
    <row r="47" spans="2:12" ht="15.75" customHeight="1" thickBot="1" x14ac:dyDescent="0.35">
      <c r="B47" s="23" t="s">
        <v>4</v>
      </c>
      <c r="C47" s="23" t="s">
        <v>5</v>
      </c>
      <c r="D47" s="23" t="s">
        <v>6</v>
      </c>
      <c r="E47" s="23" t="s">
        <v>7</v>
      </c>
      <c r="F47" s="23" t="s">
        <v>8</v>
      </c>
      <c r="H47" s="23" t="s">
        <v>4</v>
      </c>
      <c r="I47" s="23" t="s">
        <v>5</v>
      </c>
      <c r="J47" s="23" t="s">
        <v>6</v>
      </c>
      <c r="K47" s="23" t="s">
        <v>7</v>
      </c>
      <c r="L47" s="23" t="s">
        <v>8</v>
      </c>
    </row>
    <row r="48" spans="2:12" ht="15.75" customHeight="1" thickBot="1" x14ac:dyDescent="0.35">
      <c r="B48" s="44" t="s">
        <v>9</v>
      </c>
      <c r="C48" s="37">
        <v>-493.25</v>
      </c>
      <c r="D48" s="37">
        <v>53</v>
      </c>
      <c r="E48" s="37">
        <v>24</v>
      </c>
      <c r="F48" s="38">
        <f t="shared" ref="F48:F57" si="10">D48-E48</f>
        <v>29</v>
      </c>
      <c r="H48" s="44" t="s">
        <v>9</v>
      </c>
      <c r="I48" s="37">
        <v>1294.8399999999999</v>
      </c>
      <c r="J48" s="37">
        <v>35</v>
      </c>
      <c r="K48" s="37">
        <v>18</v>
      </c>
      <c r="L48" s="38">
        <f t="shared" ref="L48:L57" si="11">J48-K48</f>
        <v>17</v>
      </c>
    </row>
    <row r="49" spans="2:12" ht="15.75" customHeight="1" thickBot="1" x14ac:dyDescent="0.35">
      <c r="B49" s="44" t="s">
        <v>19</v>
      </c>
      <c r="C49" s="37">
        <v>1265.0999999999999</v>
      </c>
      <c r="D49" s="37">
        <v>49</v>
      </c>
      <c r="E49" s="37">
        <v>23</v>
      </c>
      <c r="F49" s="38">
        <f t="shared" si="10"/>
        <v>26</v>
      </c>
      <c r="H49" s="44" t="s">
        <v>19</v>
      </c>
      <c r="I49" s="37">
        <v>1092.5999999999999</v>
      </c>
      <c r="J49" s="37">
        <v>41</v>
      </c>
      <c r="K49" s="37">
        <v>22</v>
      </c>
      <c r="L49" s="38">
        <f t="shared" si="11"/>
        <v>19</v>
      </c>
    </row>
    <row r="50" spans="2:12" ht="15.75" customHeight="1" thickBot="1" x14ac:dyDescent="0.35">
      <c r="B50" s="44" t="s">
        <v>20</v>
      </c>
      <c r="C50" s="37">
        <v>950.35</v>
      </c>
      <c r="D50" s="37">
        <v>51</v>
      </c>
      <c r="E50" s="37">
        <v>25</v>
      </c>
      <c r="F50" s="38">
        <f t="shared" si="10"/>
        <v>26</v>
      </c>
      <c r="H50" s="44" t="s">
        <v>20</v>
      </c>
      <c r="I50" s="37">
        <v>561.65</v>
      </c>
      <c r="J50" s="37">
        <v>37</v>
      </c>
      <c r="K50" s="37">
        <v>18</v>
      </c>
      <c r="L50" s="38">
        <f t="shared" si="11"/>
        <v>19</v>
      </c>
    </row>
    <row r="51" spans="2:12" ht="15.75" customHeight="1" thickBot="1" x14ac:dyDescent="0.35">
      <c r="B51" s="44" t="s">
        <v>21</v>
      </c>
      <c r="C51" s="37">
        <v>1264.93</v>
      </c>
      <c r="D51" s="37">
        <v>51</v>
      </c>
      <c r="E51" s="37">
        <v>32</v>
      </c>
      <c r="F51" s="38">
        <f t="shared" si="10"/>
        <v>19</v>
      </c>
      <c r="H51" s="44" t="s">
        <v>21</v>
      </c>
      <c r="I51" s="37">
        <v>352.09</v>
      </c>
      <c r="J51" s="37">
        <v>45</v>
      </c>
      <c r="K51" s="37">
        <v>23</v>
      </c>
      <c r="L51" s="38">
        <f t="shared" si="11"/>
        <v>22</v>
      </c>
    </row>
    <row r="52" spans="2:12" ht="15.75" customHeight="1" thickBot="1" x14ac:dyDescent="0.35">
      <c r="B52" s="44" t="s">
        <v>22</v>
      </c>
      <c r="C52" s="37">
        <v>696.9</v>
      </c>
      <c r="D52" s="37">
        <v>49</v>
      </c>
      <c r="E52" s="37">
        <v>25</v>
      </c>
      <c r="F52" s="38">
        <f t="shared" si="10"/>
        <v>24</v>
      </c>
      <c r="H52" s="44" t="s">
        <v>22</v>
      </c>
      <c r="I52" s="37">
        <v>1221.05</v>
      </c>
      <c r="J52" s="37">
        <v>46</v>
      </c>
      <c r="K52" s="37">
        <v>25</v>
      </c>
      <c r="L52" s="38">
        <f t="shared" si="11"/>
        <v>21</v>
      </c>
    </row>
    <row r="53" spans="2:12" ht="15.75" customHeight="1" thickBot="1" x14ac:dyDescent="0.35">
      <c r="B53" s="44" t="s">
        <v>23</v>
      </c>
      <c r="C53" s="37">
        <v>-282.35000000000002</v>
      </c>
      <c r="D53" s="37">
        <v>53</v>
      </c>
      <c r="E53" s="37">
        <v>22</v>
      </c>
      <c r="F53" s="38">
        <f t="shared" si="10"/>
        <v>31</v>
      </c>
      <c r="H53" s="44" t="s">
        <v>23</v>
      </c>
      <c r="I53" s="37">
        <v>-85.65</v>
      </c>
      <c r="J53" s="37">
        <v>37</v>
      </c>
      <c r="K53" s="37">
        <v>18</v>
      </c>
      <c r="L53" s="38">
        <f t="shared" si="11"/>
        <v>19</v>
      </c>
    </row>
    <row r="54" spans="2:12" ht="15.75" customHeight="1" thickBot="1" x14ac:dyDescent="0.35">
      <c r="B54" s="44" t="s">
        <v>24</v>
      </c>
      <c r="C54" s="37">
        <v>165</v>
      </c>
      <c r="D54" s="37">
        <v>46</v>
      </c>
      <c r="E54" s="37">
        <v>27</v>
      </c>
      <c r="F54" s="38">
        <f t="shared" si="10"/>
        <v>19</v>
      </c>
      <c r="H54" s="44" t="s">
        <v>24</v>
      </c>
      <c r="I54" s="37">
        <v>1345.95</v>
      </c>
      <c r="J54" s="37">
        <v>42</v>
      </c>
      <c r="K54" s="37">
        <v>19</v>
      </c>
      <c r="L54" s="38">
        <f t="shared" si="11"/>
        <v>23</v>
      </c>
    </row>
    <row r="55" spans="2:12" ht="15.75" customHeight="1" thickBot="1" x14ac:dyDescent="0.35">
      <c r="B55" s="44" t="s">
        <v>10</v>
      </c>
      <c r="C55" s="37">
        <v>3116.1</v>
      </c>
      <c r="D55" s="37">
        <v>58</v>
      </c>
      <c r="E55" s="37">
        <v>23</v>
      </c>
      <c r="F55" s="38">
        <f t="shared" si="10"/>
        <v>35</v>
      </c>
      <c r="H55" s="44" t="s">
        <v>10</v>
      </c>
      <c r="I55" s="37">
        <v>2518.5</v>
      </c>
      <c r="J55" s="37">
        <v>47</v>
      </c>
      <c r="K55" s="37">
        <v>22</v>
      </c>
      <c r="L55" s="38">
        <f t="shared" si="11"/>
        <v>25</v>
      </c>
    </row>
    <row r="56" spans="2:12" ht="15.75" customHeight="1" thickBot="1" x14ac:dyDescent="0.35">
      <c r="B56" s="44" t="s">
        <v>25</v>
      </c>
      <c r="C56" s="37">
        <v>-655.20000000000005</v>
      </c>
      <c r="D56" s="37">
        <v>61</v>
      </c>
      <c r="E56" s="37">
        <v>25</v>
      </c>
      <c r="F56" s="38">
        <f t="shared" si="10"/>
        <v>36</v>
      </c>
      <c r="H56" s="44" t="s">
        <v>25</v>
      </c>
      <c r="I56" s="37">
        <v>1442.29</v>
      </c>
      <c r="J56" s="37">
        <v>43</v>
      </c>
      <c r="K56" s="37">
        <v>22</v>
      </c>
      <c r="L56" s="38">
        <f t="shared" si="11"/>
        <v>21</v>
      </c>
    </row>
    <row r="57" spans="2:12" ht="15.75" customHeight="1" thickBot="1" x14ac:dyDescent="0.35">
      <c r="B57" s="44" t="s">
        <v>26</v>
      </c>
      <c r="C57" s="39">
        <v>201.05</v>
      </c>
      <c r="D57" s="39">
        <v>61</v>
      </c>
      <c r="E57" s="39">
        <v>25</v>
      </c>
      <c r="F57" s="40">
        <f t="shared" si="10"/>
        <v>36</v>
      </c>
      <c r="H57" s="44" t="s">
        <v>26</v>
      </c>
      <c r="I57" s="39">
        <v>1017.14</v>
      </c>
      <c r="J57" s="39">
        <v>44</v>
      </c>
      <c r="K57" s="39">
        <v>20</v>
      </c>
      <c r="L57" s="40">
        <f t="shared" si="11"/>
        <v>24</v>
      </c>
    </row>
    <row r="58" spans="2:12" ht="12.75" customHeight="1" x14ac:dyDescent="0.3">
      <c r="D58" s="29">
        <f>SUM(D48:D57)</f>
        <v>532</v>
      </c>
      <c r="E58" s="29">
        <f>SUM(E48:E57)</f>
        <v>251</v>
      </c>
      <c r="F58" s="29">
        <f>SUM(F48:F57)</f>
        <v>281</v>
      </c>
      <c r="J58" s="29">
        <f t="shared" ref="J58:L58" si="12">SUM(J48:J57)</f>
        <v>417</v>
      </c>
      <c r="K58" s="29">
        <f t="shared" si="12"/>
        <v>207</v>
      </c>
      <c r="L58" s="29">
        <f t="shared" si="12"/>
        <v>210</v>
      </c>
    </row>
    <row r="59" spans="2:12" ht="12.75" customHeight="1" x14ac:dyDescent="0.3">
      <c r="C59" s="30" t="s">
        <v>14</v>
      </c>
      <c r="D59" s="30">
        <f>D58+D44+D30+D16</f>
        <v>1896</v>
      </c>
      <c r="E59" s="30">
        <f t="shared" ref="E59:F59" si="13">E58+E44+E30+E16</f>
        <v>837</v>
      </c>
      <c r="F59" s="30">
        <f t="shared" si="13"/>
        <v>1059</v>
      </c>
      <c r="I59" s="30" t="s">
        <v>15</v>
      </c>
      <c r="J59" s="30">
        <f>J58+J44+J30+J16</f>
        <v>1784</v>
      </c>
      <c r="K59" s="30">
        <f t="shared" ref="K59:L59" si="14">K58+K44+K30+K16</f>
        <v>827</v>
      </c>
      <c r="L59" s="30">
        <f t="shared" si="14"/>
        <v>957</v>
      </c>
    </row>
    <row r="60" spans="2:12" ht="12.75" customHeight="1" x14ac:dyDescent="0.3"/>
    <row r="61" spans="2:12" ht="12.75" customHeight="1" x14ac:dyDescent="0.3">
      <c r="C61" s="31" t="s">
        <v>16</v>
      </c>
      <c r="D61" s="31">
        <f>D59+J59</f>
        <v>3680</v>
      </c>
      <c r="E61" s="31">
        <f t="shared" ref="E61" si="15">E59+K59</f>
        <v>1664</v>
      </c>
      <c r="F61" s="31">
        <f>F59+L59</f>
        <v>2016</v>
      </c>
    </row>
    <row r="62" spans="2:12" ht="12.75" customHeight="1" x14ac:dyDescent="0.3">
      <c r="C62" s="32" t="s">
        <v>17</v>
      </c>
      <c r="D62" s="33">
        <f>E61/D61</f>
        <v>0.45217391304347826</v>
      </c>
    </row>
    <row r="63" spans="2:12" ht="12.75" customHeight="1" x14ac:dyDescent="0.3">
      <c r="C63" s="32" t="s">
        <v>18</v>
      </c>
      <c r="D63" s="33">
        <f>1-D62</f>
        <v>0.54782608695652169</v>
      </c>
    </row>
    <row r="64" spans="2: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B1:L1"/>
    <mergeCell ref="B3:F3"/>
    <mergeCell ref="H3:L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76E5C-CF3E-49C1-B368-020072B85C3A}">
  <dimension ref="A1:L1000"/>
  <sheetViews>
    <sheetView topLeftCell="A41" workbookViewId="0">
      <selection activeCell="F66" sqref="F66"/>
    </sheetView>
  </sheetViews>
  <sheetFormatPr defaultColWidth="12.6640625" defaultRowHeight="15.6" x14ac:dyDescent="0.3"/>
  <cols>
    <col min="1" max="1" width="4.6640625" style="25" customWidth="1"/>
    <col min="2" max="2" width="12.6640625" style="25"/>
    <col min="3" max="3" width="17.88671875" style="25" customWidth="1"/>
    <col min="4" max="4" width="31.88671875" style="25" customWidth="1"/>
    <col min="5" max="5" width="21.33203125" style="25" customWidth="1"/>
    <col min="6" max="6" width="22.88671875" style="25" customWidth="1"/>
    <col min="7" max="8" width="12.6640625" style="25"/>
    <col min="9" max="9" width="17.88671875" style="25" customWidth="1"/>
    <col min="10" max="10" width="32" style="25" customWidth="1"/>
    <col min="11" max="11" width="21" style="25" customWidth="1"/>
    <col min="12" max="12" width="24.44140625" style="25" customWidth="1"/>
    <col min="13" max="16384" width="12.6640625" style="25"/>
  </cols>
  <sheetData>
    <row r="1" spans="1:12" ht="15.75" customHeight="1" x14ac:dyDescent="0.3">
      <c r="A1" s="21"/>
      <c r="B1" s="62" t="s">
        <v>0</v>
      </c>
      <c r="C1" s="63"/>
      <c r="D1" s="63"/>
      <c r="E1" s="63"/>
      <c r="F1" s="63"/>
      <c r="G1" s="63"/>
      <c r="H1" s="63"/>
      <c r="I1" s="63"/>
      <c r="J1" s="63"/>
      <c r="K1" s="63"/>
      <c r="L1" s="63"/>
    </row>
    <row r="2" spans="1:12" ht="15.75" customHeight="1" x14ac:dyDescent="0.3">
      <c r="A2" s="21"/>
      <c r="B2" s="21"/>
      <c r="C2" s="26"/>
      <c r="D2" s="26"/>
      <c r="E2" s="26"/>
      <c r="F2" s="26"/>
      <c r="H2" s="21"/>
    </row>
    <row r="3" spans="1:12" ht="15.75" customHeight="1" x14ac:dyDescent="0.3">
      <c r="A3" s="21"/>
      <c r="B3" s="64" t="s">
        <v>1</v>
      </c>
      <c r="C3" s="63"/>
      <c r="D3" s="63"/>
      <c r="E3" s="63"/>
      <c r="F3" s="63"/>
      <c r="H3" s="64" t="s">
        <v>2</v>
      </c>
      <c r="I3" s="63"/>
      <c r="J3" s="63"/>
      <c r="K3" s="63"/>
      <c r="L3" s="63"/>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42">
        <v>-392.24</v>
      </c>
      <c r="D6" s="42">
        <v>35</v>
      </c>
      <c r="E6" s="42">
        <v>16</v>
      </c>
      <c r="F6" s="42">
        <v>19</v>
      </c>
      <c r="H6" s="44" t="s">
        <v>9</v>
      </c>
      <c r="I6" s="42">
        <v>812</v>
      </c>
      <c r="J6" s="42">
        <v>31</v>
      </c>
      <c r="K6" s="42">
        <v>16</v>
      </c>
      <c r="L6" s="42">
        <v>15</v>
      </c>
    </row>
    <row r="7" spans="1:12" ht="15.75" customHeight="1" thickBot="1" x14ac:dyDescent="0.35">
      <c r="A7" s="20"/>
      <c r="B7" s="44" t="s">
        <v>19</v>
      </c>
      <c r="C7" s="42">
        <v>1130.0999999999999</v>
      </c>
      <c r="D7" s="42">
        <v>36</v>
      </c>
      <c r="E7" s="42">
        <v>20</v>
      </c>
      <c r="F7" s="42">
        <v>16</v>
      </c>
      <c r="H7" s="44" t="s">
        <v>19</v>
      </c>
      <c r="I7" s="42">
        <v>661.3</v>
      </c>
      <c r="J7" s="42">
        <v>40</v>
      </c>
      <c r="K7" s="42">
        <v>20</v>
      </c>
      <c r="L7" s="42">
        <v>20</v>
      </c>
    </row>
    <row r="8" spans="1:12" ht="15.75" customHeight="1" thickBot="1" x14ac:dyDescent="0.35">
      <c r="A8" s="7"/>
      <c r="B8" s="44" t="s">
        <v>20</v>
      </c>
      <c r="C8" s="42">
        <v>183.9</v>
      </c>
      <c r="D8" s="42">
        <v>41</v>
      </c>
      <c r="E8" s="42">
        <v>19</v>
      </c>
      <c r="F8" s="42">
        <v>22</v>
      </c>
      <c r="H8" s="44" t="s">
        <v>20</v>
      </c>
      <c r="I8" s="42">
        <v>-566.65</v>
      </c>
      <c r="J8" s="42">
        <v>47</v>
      </c>
      <c r="K8" s="42">
        <v>19</v>
      </c>
      <c r="L8" s="42">
        <v>28</v>
      </c>
    </row>
    <row r="9" spans="1:12" ht="15.75" customHeight="1" thickBot="1" x14ac:dyDescent="0.35">
      <c r="A9" s="20"/>
      <c r="B9" s="44" t="s">
        <v>21</v>
      </c>
      <c r="C9" s="42">
        <v>1467.95</v>
      </c>
      <c r="D9" s="42">
        <v>31</v>
      </c>
      <c r="E9" s="42">
        <v>16</v>
      </c>
      <c r="F9" s="42">
        <v>15</v>
      </c>
      <c r="H9" s="44" t="s">
        <v>21</v>
      </c>
      <c r="I9" s="42">
        <v>-953.8</v>
      </c>
      <c r="J9" s="42">
        <v>43</v>
      </c>
      <c r="K9" s="42">
        <v>20</v>
      </c>
      <c r="L9" s="42">
        <v>23</v>
      </c>
    </row>
    <row r="10" spans="1:12" ht="15.75" customHeight="1" thickBot="1" x14ac:dyDescent="0.35">
      <c r="A10" s="7"/>
      <c r="B10" s="44" t="s">
        <v>22</v>
      </c>
      <c r="C10" s="42">
        <v>524</v>
      </c>
      <c r="D10" s="42">
        <v>28</v>
      </c>
      <c r="E10" s="42">
        <v>13</v>
      </c>
      <c r="F10" s="42">
        <v>15</v>
      </c>
      <c r="H10" s="44" t="s">
        <v>22</v>
      </c>
      <c r="I10" s="42">
        <v>-1433.55</v>
      </c>
      <c r="J10" s="42">
        <v>57</v>
      </c>
      <c r="K10" s="42">
        <v>24</v>
      </c>
      <c r="L10" s="42">
        <v>33</v>
      </c>
    </row>
    <row r="11" spans="1:12" ht="15.75" customHeight="1" thickBot="1" x14ac:dyDescent="0.35">
      <c r="A11" s="7"/>
      <c r="B11" s="44" t="s">
        <v>23</v>
      </c>
      <c r="C11" s="42">
        <v>158.30000000000001</v>
      </c>
      <c r="D11" s="42">
        <v>38</v>
      </c>
      <c r="E11" s="42">
        <v>15</v>
      </c>
      <c r="F11" s="42">
        <v>23</v>
      </c>
      <c r="H11" s="44" t="s">
        <v>23</v>
      </c>
      <c r="I11" s="42">
        <v>-299.35000000000002</v>
      </c>
      <c r="J11" s="42">
        <v>57</v>
      </c>
      <c r="K11" s="42">
        <v>22</v>
      </c>
      <c r="L11" s="42">
        <v>35</v>
      </c>
    </row>
    <row r="12" spans="1:12" ht="15.75" customHeight="1" thickBot="1" x14ac:dyDescent="0.35">
      <c r="A12" s="20"/>
      <c r="B12" s="44" t="s">
        <v>24</v>
      </c>
      <c r="C12" s="42">
        <v>-676.09</v>
      </c>
      <c r="D12" s="42">
        <v>39</v>
      </c>
      <c r="E12" s="42">
        <v>15</v>
      </c>
      <c r="F12" s="42">
        <v>24</v>
      </c>
      <c r="H12" s="44" t="s">
        <v>24</v>
      </c>
      <c r="I12" s="42">
        <v>785.89</v>
      </c>
      <c r="J12" s="42">
        <v>38</v>
      </c>
      <c r="K12" s="42">
        <v>17</v>
      </c>
      <c r="L12" s="42">
        <v>21</v>
      </c>
    </row>
    <row r="13" spans="1:12" ht="15.75" customHeight="1" thickBot="1" x14ac:dyDescent="0.35">
      <c r="A13" s="7"/>
      <c r="B13" s="44" t="s">
        <v>10</v>
      </c>
      <c r="C13" s="42">
        <v>-923.65</v>
      </c>
      <c r="D13" s="42">
        <v>43</v>
      </c>
      <c r="E13" s="42">
        <v>15</v>
      </c>
      <c r="F13" s="42">
        <v>28</v>
      </c>
      <c r="H13" s="44" t="s">
        <v>10</v>
      </c>
      <c r="I13" s="42">
        <v>979.64</v>
      </c>
      <c r="J13" s="42">
        <v>58</v>
      </c>
      <c r="K13" s="42">
        <v>26</v>
      </c>
      <c r="L13" s="42">
        <v>32</v>
      </c>
    </row>
    <row r="14" spans="1:12" ht="15.75" customHeight="1" thickBot="1" x14ac:dyDescent="0.35">
      <c r="A14" s="20"/>
      <c r="B14" s="44" t="s">
        <v>25</v>
      </c>
      <c r="C14" s="26">
        <v>255.85</v>
      </c>
      <c r="D14" s="26">
        <v>70</v>
      </c>
      <c r="E14" s="26">
        <v>31</v>
      </c>
      <c r="F14" s="34">
        <f t="shared" ref="F14:F15" si="0">D14-E14</f>
        <v>39</v>
      </c>
      <c r="H14" s="44" t="s">
        <v>25</v>
      </c>
      <c r="I14" s="26">
        <v>-1547.3</v>
      </c>
      <c r="J14" s="26">
        <v>79</v>
      </c>
      <c r="K14" s="26">
        <v>30</v>
      </c>
      <c r="L14" s="34">
        <f t="shared" ref="L14:L15" si="1">J14-K14</f>
        <v>49</v>
      </c>
    </row>
    <row r="15" spans="1:12" ht="15.75" customHeight="1" thickBot="1" x14ac:dyDescent="0.35">
      <c r="A15" s="7"/>
      <c r="B15" s="44" t="s">
        <v>26</v>
      </c>
      <c r="C15" s="35">
        <v>4726.88</v>
      </c>
      <c r="D15" s="35">
        <v>82</v>
      </c>
      <c r="E15" s="35">
        <v>40</v>
      </c>
      <c r="F15" s="36">
        <f t="shared" si="0"/>
        <v>42</v>
      </c>
      <c r="H15" s="44" t="s">
        <v>26</v>
      </c>
      <c r="I15" s="35">
        <v>-4590.1000000000004</v>
      </c>
      <c r="J15" s="35">
        <v>78</v>
      </c>
      <c r="K15" s="35">
        <v>27</v>
      </c>
      <c r="L15" s="36">
        <f t="shared" si="1"/>
        <v>51</v>
      </c>
    </row>
    <row r="16" spans="1:12" ht="12.75" customHeight="1" x14ac:dyDescent="0.3">
      <c r="D16" s="29">
        <f>SUM(D6:D15)</f>
        <v>443</v>
      </c>
      <c r="E16" s="29">
        <f t="shared" ref="E16:F16" si="2">SUM(E6:E15)</f>
        <v>200</v>
      </c>
      <c r="F16" s="29">
        <f t="shared" si="2"/>
        <v>243</v>
      </c>
      <c r="J16" s="29">
        <f t="shared" ref="J16:L16" si="3">SUM(J6:J15)</f>
        <v>528</v>
      </c>
      <c r="K16" s="29">
        <f t="shared" si="3"/>
        <v>221</v>
      </c>
      <c r="L16" s="29">
        <f t="shared" si="3"/>
        <v>307</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42">
        <v>-2547.4</v>
      </c>
      <c r="D20" s="42">
        <v>39</v>
      </c>
      <c r="E20" s="42">
        <v>12</v>
      </c>
      <c r="F20" s="42">
        <v>27</v>
      </c>
      <c r="H20" s="44" t="s">
        <v>9</v>
      </c>
      <c r="I20" s="42">
        <v>172.95</v>
      </c>
      <c r="J20" s="42">
        <v>32</v>
      </c>
      <c r="K20" s="42">
        <v>14</v>
      </c>
      <c r="L20" s="42">
        <v>18</v>
      </c>
    </row>
    <row r="21" spans="2:12" ht="15.75" customHeight="1" thickBot="1" x14ac:dyDescent="0.35">
      <c r="B21" s="44" t="s">
        <v>19</v>
      </c>
      <c r="C21" s="42">
        <v>-1201.4000000000001</v>
      </c>
      <c r="D21" s="42">
        <v>51</v>
      </c>
      <c r="E21" s="42">
        <v>21</v>
      </c>
      <c r="F21" s="42">
        <v>30</v>
      </c>
      <c r="H21" s="44" t="s">
        <v>19</v>
      </c>
      <c r="I21" s="42">
        <v>239.69</v>
      </c>
      <c r="J21" s="42">
        <v>33</v>
      </c>
      <c r="K21" s="42">
        <v>18</v>
      </c>
      <c r="L21" s="42">
        <v>15</v>
      </c>
    </row>
    <row r="22" spans="2:12" ht="15.75" customHeight="1" thickBot="1" x14ac:dyDescent="0.35">
      <c r="B22" s="44" t="s">
        <v>20</v>
      </c>
      <c r="C22" s="42">
        <v>-769.6</v>
      </c>
      <c r="D22" s="42">
        <v>54</v>
      </c>
      <c r="E22" s="42">
        <v>25</v>
      </c>
      <c r="F22" s="42">
        <v>29</v>
      </c>
      <c r="H22" s="44" t="s">
        <v>20</v>
      </c>
      <c r="I22" s="42">
        <v>89.49</v>
      </c>
      <c r="J22" s="42">
        <v>22</v>
      </c>
      <c r="K22" s="42">
        <v>10</v>
      </c>
      <c r="L22" s="42">
        <v>12</v>
      </c>
    </row>
    <row r="23" spans="2:12" ht="15.75" customHeight="1" thickBot="1" x14ac:dyDescent="0.35">
      <c r="B23" s="44" t="s">
        <v>21</v>
      </c>
      <c r="C23" s="42">
        <v>-1563.25</v>
      </c>
      <c r="D23" s="42">
        <v>41</v>
      </c>
      <c r="E23" s="42">
        <v>20</v>
      </c>
      <c r="F23" s="42">
        <v>21</v>
      </c>
      <c r="H23" s="44" t="s">
        <v>21</v>
      </c>
      <c r="I23" s="42">
        <v>757.65</v>
      </c>
      <c r="J23" s="42">
        <v>33</v>
      </c>
      <c r="K23" s="42">
        <v>21</v>
      </c>
      <c r="L23" s="42">
        <v>12</v>
      </c>
    </row>
    <row r="24" spans="2:12" ht="15.75" customHeight="1" thickBot="1" x14ac:dyDescent="0.35">
      <c r="B24" s="44" t="s">
        <v>22</v>
      </c>
      <c r="C24" s="42">
        <v>-1159.3</v>
      </c>
      <c r="D24" s="42">
        <v>50</v>
      </c>
      <c r="E24" s="42">
        <v>21</v>
      </c>
      <c r="F24" s="42">
        <v>29</v>
      </c>
      <c r="H24" s="44" t="s">
        <v>22</v>
      </c>
      <c r="I24" s="42">
        <v>-749.35</v>
      </c>
      <c r="J24" s="42">
        <v>31</v>
      </c>
      <c r="K24" s="42">
        <v>13</v>
      </c>
      <c r="L24" s="42">
        <v>18</v>
      </c>
    </row>
    <row r="25" spans="2:12" ht="15.75" customHeight="1" thickBot="1" x14ac:dyDescent="0.35">
      <c r="B25" s="44" t="s">
        <v>23</v>
      </c>
      <c r="C25" s="42">
        <v>106.3</v>
      </c>
      <c r="D25" s="42">
        <v>42</v>
      </c>
      <c r="E25" s="42">
        <v>18</v>
      </c>
      <c r="F25" s="42">
        <v>24</v>
      </c>
      <c r="H25" s="44" t="s">
        <v>23</v>
      </c>
      <c r="I25" s="42">
        <v>996.89</v>
      </c>
      <c r="J25" s="42">
        <v>33</v>
      </c>
      <c r="K25" s="42">
        <v>18</v>
      </c>
      <c r="L25" s="42">
        <v>15</v>
      </c>
    </row>
    <row r="26" spans="2:12" ht="15.75" customHeight="1" thickBot="1" x14ac:dyDescent="0.35">
      <c r="B26" s="44" t="s">
        <v>24</v>
      </c>
      <c r="C26" s="42">
        <v>399.65</v>
      </c>
      <c r="D26" s="42">
        <v>46</v>
      </c>
      <c r="E26" s="42">
        <v>22</v>
      </c>
      <c r="F26" s="42">
        <v>24</v>
      </c>
      <c r="H26" s="44" t="s">
        <v>24</v>
      </c>
      <c r="I26" s="42">
        <v>261.19</v>
      </c>
      <c r="J26" s="42">
        <v>41</v>
      </c>
      <c r="K26" s="42">
        <v>19</v>
      </c>
      <c r="L26" s="42">
        <v>22</v>
      </c>
    </row>
    <row r="27" spans="2:12" ht="12.75" customHeight="1" thickBot="1" x14ac:dyDescent="0.35">
      <c r="B27" s="44" t="s">
        <v>10</v>
      </c>
      <c r="C27" s="42">
        <v>103.75</v>
      </c>
      <c r="D27" s="42">
        <v>49</v>
      </c>
      <c r="E27" s="42">
        <v>20</v>
      </c>
      <c r="F27" s="42">
        <v>29</v>
      </c>
      <c r="H27" s="44" t="s">
        <v>10</v>
      </c>
      <c r="I27" s="42">
        <v>79.09</v>
      </c>
      <c r="J27" s="42">
        <v>40</v>
      </c>
      <c r="K27" s="42">
        <v>17</v>
      </c>
      <c r="L27" s="42">
        <v>23</v>
      </c>
    </row>
    <row r="28" spans="2:12" ht="12.75" customHeight="1" thickBot="1" x14ac:dyDescent="0.35">
      <c r="B28" s="44" t="s">
        <v>25</v>
      </c>
      <c r="C28" s="26">
        <v>-2045.34</v>
      </c>
      <c r="D28" s="26">
        <v>72</v>
      </c>
      <c r="E28" s="26">
        <v>23</v>
      </c>
      <c r="F28" s="34">
        <f t="shared" ref="F28:F29" si="4">D28-E28</f>
        <v>49</v>
      </c>
      <c r="H28" s="44" t="s">
        <v>25</v>
      </c>
      <c r="I28" s="26">
        <v>469.54</v>
      </c>
      <c r="J28" s="26">
        <v>78</v>
      </c>
      <c r="K28" s="26">
        <v>35</v>
      </c>
      <c r="L28" s="34">
        <f t="shared" ref="L28:L29" si="5">J28-K28</f>
        <v>43</v>
      </c>
    </row>
    <row r="29" spans="2:12" ht="12.75" customHeight="1" thickBot="1" x14ac:dyDescent="0.35">
      <c r="B29" s="44" t="s">
        <v>26</v>
      </c>
      <c r="C29" s="35">
        <v>-676.39</v>
      </c>
      <c r="D29" s="35">
        <v>85</v>
      </c>
      <c r="E29" s="35">
        <v>32</v>
      </c>
      <c r="F29" s="36">
        <f t="shared" si="4"/>
        <v>53</v>
      </c>
      <c r="H29" s="44" t="s">
        <v>26</v>
      </c>
      <c r="I29" s="26">
        <v>-1696.5</v>
      </c>
      <c r="J29" s="35">
        <v>77</v>
      </c>
      <c r="K29" s="35">
        <v>27</v>
      </c>
      <c r="L29" s="36">
        <f t="shared" si="5"/>
        <v>50</v>
      </c>
    </row>
    <row r="30" spans="2:12" ht="12.75" customHeight="1" x14ac:dyDescent="0.3">
      <c r="D30" s="29">
        <f>SUM(D20:D29)</f>
        <v>529</v>
      </c>
      <c r="E30" s="29">
        <f>SUM(E20:E29)</f>
        <v>214</v>
      </c>
      <c r="F30" s="29">
        <f>SUM(F20:F29)</f>
        <v>315</v>
      </c>
      <c r="J30" s="29">
        <f t="shared" ref="J30:L30" si="6">SUM(J20:J29)</f>
        <v>420</v>
      </c>
      <c r="K30" s="29">
        <f t="shared" si="6"/>
        <v>192</v>
      </c>
      <c r="L30" s="29">
        <f t="shared" si="6"/>
        <v>228</v>
      </c>
    </row>
    <row r="31" spans="2:12" ht="12.75" customHeight="1" x14ac:dyDescent="0.3"/>
    <row r="32" spans="2:12" ht="12.75" customHeight="1" x14ac:dyDescent="0.3">
      <c r="B32" s="22" t="s">
        <v>12</v>
      </c>
      <c r="C32" s="27"/>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42">
        <v>-520.6</v>
      </c>
      <c r="D34" s="42">
        <v>28</v>
      </c>
      <c r="E34" s="42">
        <v>15</v>
      </c>
      <c r="F34" s="42">
        <v>13</v>
      </c>
      <c r="H34" s="44" t="s">
        <v>9</v>
      </c>
      <c r="I34" s="42">
        <v>-2039</v>
      </c>
      <c r="J34" s="42">
        <v>41</v>
      </c>
      <c r="K34" s="42">
        <v>15</v>
      </c>
      <c r="L34" s="42">
        <v>26</v>
      </c>
    </row>
    <row r="35" spans="2:12" ht="12.75" customHeight="1" thickBot="1" x14ac:dyDescent="0.35">
      <c r="B35" s="44" t="s">
        <v>19</v>
      </c>
      <c r="C35" s="42">
        <v>290</v>
      </c>
      <c r="D35" s="42">
        <v>34</v>
      </c>
      <c r="E35" s="42">
        <v>17</v>
      </c>
      <c r="F35" s="42">
        <v>17</v>
      </c>
      <c r="H35" s="44" t="s">
        <v>19</v>
      </c>
      <c r="I35" s="42">
        <v>-1203</v>
      </c>
      <c r="J35" s="42">
        <v>45</v>
      </c>
      <c r="K35" s="42">
        <v>21</v>
      </c>
      <c r="L35" s="42">
        <v>24</v>
      </c>
    </row>
    <row r="36" spans="2:12" ht="12.75" customHeight="1" thickBot="1" x14ac:dyDescent="0.35">
      <c r="B36" s="44" t="s">
        <v>20</v>
      </c>
      <c r="C36" s="42">
        <v>-292.8</v>
      </c>
      <c r="D36" s="42">
        <v>30</v>
      </c>
      <c r="E36" s="42">
        <v>15</v>
      </c>
      <c r="F36" s="42">
        <v>15</v>
      </c>
      <c r="H36" s="44" t="s">
        <v>20</v>
      </c>
      <c r="I36" s="42">
        <v>-1412</v>
      </c>
      <c r="J36" s="42">
        <v>39</v>
      </c>
      <c r="K36" s="42">
        <v>12</v>
      </c>
      <c r="L36" s="42">
        <v>27</v>
      </c>
    </row>
    <row r="37" spans="2:12" ht="12.75" customHeight="1" thickBot="1" x14ac:dyDescent="0.35">
      <c r="B37" s="44" t="s">
        <v>21</v>
      </c>
      <c r="C37" s="42">
        <v>468.7</v>
      </c>
      <c r="D37" s="42">
        <v>21</v>
      </c>
      <c r="E37" s="42">
        <v>14</v>
      </c>
      <c r="F37" s="42">
        <v>7</v>
      </c>
      <c r="H37" s="44" t="s">
        <v>21</v>
      </c>
      <c r="I37" s="42">
        <v>-1101.75</v>
      </c>
      <c r="J37" s="42">
        <v>46</v>
      </c>
      <c r="K37" s="42">
        <v>22</v>
      </c>
      <c r="L37" s="42">
        <v>24</v>
      </c>
    </row>
    <row r="38" spans="2:12" ht="12.75" customHeight="1" thickBot="1" x14ac:dyDescent="0.35">
      <c r="B38" s="44" t="s">
        <v>22</v>
      </c>
      <c r="C38" s="42">
        <v>-321.89999999999998</v>
      </c>
      <c r="D38" s="42">
        <v>26</v>
      </c>
      <c r="E38" s="42">
        <v>9</v>
      </c>
      <c r="F38" s="42">
        <v>17</v>
      </c>
      <c r="H38" s="44" t="s">
        <v>22</v>
      </c>
      <c r="I38" s="42">
        <v>-655.63</v>
      </c>
      <c r="J38" s="42">
        <v>33</v>
      </c>
      <c r="K38" s="42">
        <v>17</v>
      </c>
      <c r="L38" s="42">
        <v>16</v>
      </c>
    </row>
    <row r="39" spans="2:12" ht="12.75" customHeight="1" thickBot="1" x14ac:dyDescent="0.35">
      <c r="B39" s="44" t="s">
        <v>23</v>
      </c>
      <c r="C39" s="42">
        <v>-1613.6</v>
      </c>
      <c r="D39" s="42">
        <v>36</v>
      </c>
      <c r="E39" s="42">
        <v>14</v>
      </c>
      <c r="F39" s="42">
        <v>22</v>
      </c>
      <c r="H39" s="44" t="s">
        <v>23</v>
      </c>
      <c r="I39" s="42">
        <v>-878.29</v>
      </c>
      <c r="J39" s="42">
        <v>27</v>
      </c>
      <c r="K39" s="42">
        <v>10</v>
      </c>
      <c r="L39" s="42">
        <v>17</v>
      </c>
    </row>
    <row r="40" spans="2:12" ht="12.75" customHeight="1" thickBot="1" x14ac:dyDescent="0.35">
      <c r="B40" s="44" t="s">
        <v>24</v>
      </c>
      <c r="C40" s="42">
        <v>165.35</v>
      </c>
      <c r="D40" s="42">
        <v>44</v>
      </c>
      <c r="E40" s="42">
        <v>21</v>
      </c>
      <c r="F40" s="42">
        <v>23</v>
      </c>
      <c r="H40" s="44" t="s">
        <v>24</v>
      </c>
      <c r="I40" s="42">
        <v>720.74</v>
      </c>
      <c r="J40" s="42">
        <v>36</v>
      </c>
      <c r="K40" s="42">
        <v>18</v>
      </c>
      <c r="L40" s="42">
        <v>18</v>
      </c>
    </row>
    <row r="41" spans="2:12" ht="12.75" customHeight="1" thickBot="1" x14ac:dyDescent="0.35">
      <c r="B41" s="44" t="s">
        <v>10</v>
      </c>
      <c r="C41" s="42">
        <v>-77.790000000000006</v>
      </c>
      <c r="D41" s="42">
        <v>40</v>
      </c>
      <c r="E41" s="42">
        <v>17</v>
      </c>
      <c r="F41" s="42">
        <v>23</v>
      </c>
      <c r="H41" s="44" t="s">
        <v>10</v>
      </c>
      <c r="I41" s="42">
        <v>411.64</v>
      </c>
      <c r="J41" s="42">
        <v>39</v>
      </c>
      <c r="K41" s="42">
        <v>20</v>
      </c>
      <c r="L41" s="42">
        <v>19</v>
      </c>
    </row>
    <row r="42" spans="2:12" ht="12.75" customHeight="1" thickBot="1" x14ac:dyDescent="0.35">
      <c r="B42" s="44" t="s">
        <v>25</v>
      </c>
      <c r="C42" s="26">
        <v>-634.49</v>
      </c>
      <c r="D42" s="26">
        <v>61</v>
      </c>
      <c r="E42" s="26">
        <v>32</v>
      </c>
      <c r="F42" s="34">
        <f t="shared" ref="F42:F43" si="7">D42-E42</f>
        <v>29</v>
      </c>
      <c r="H42" s="44" t="s">
        <v>25</v>
      </c>
      <c r="I42" s="26">
        <v>-1373.4</v>
      </c>
      <c r="J42" s="26">
        <v>67</v>
      </c>
      <c r="K42" s="26">
        <v>27</v>
      </c>
      <c r="L42" s="34">
        <f t="shared" ref="L42:L43" si="8">J42-K42</f>
        <v>40</v>
      </c>
    </row>
    <row r="43" spans="2:12" ht="12.75" customHeight="1" thickBot="1" x14ac:dyDescent="0.35">
      <c r="B43" s="44" t="s">
        <v>26</v>
      </c>
      <c r="C43" s="35">
        <v>-1130.69</v>
      </c>
      <c r="D43" s="35">
        <v>66</v>
      </c>
      <c r="E43" s="35">
        <v>25</v>
      </c>
      <c r="F43" s="36">
        <f t="shared" si="7"/>
        <v>41</v>
      </c>
      <c r="H43" s="44" t="s">
        <v>26</v>
      </c>
      <c r="I43" s="35">
        <v>-4339.95</v>
      </c>
      <c r="J43" s="35">
        <v>84</v>
      </c>
      <c r="K43" s="35">
        <v>29</v>
      </c>
      <c r="L43" s="36">
        <f t="shared" si="8"/>
        <v>55</v>
      </c>
    </row>
    <row r="44" spans="2:12" ht="12.75" customHeight="1" x14ac:dyDescent="0.3">
      <c r="D44" s="29">
        <f>SUM(D34:D43)</f>
        <v>386</v>
      </c>
      <c r="E44" s="29">
        <f>SUM(E34:E43)</f>
        <v>179</v>
      </c>
      <c r="F44" s="29">
        <f>SUM(F34:F43)</f>
        <v>207</v>
      </c>
      <c r="J44" s="29">
        <f t="shared" ref="J44:L44" si="9">SUM(J34:J43)</f>
        <v>457</v>
      </c>
      <c r="K44" s="29">
        <f t="shared" si="9"/>
        <v>191</v>
      </c>
      <c r="L44" s="29">
        <f t="shared" si="9"/>
        <v>266</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42">
        <v>60.2</v>
      </c>
      <c r="D48" s="42">
        <v>50</v>
      </c>
      <c r="E48" s="42">
        <v>22</v>
      </c>
      <c r="F48" s="42">
        <v>28</v>
      </c>
      <c r="H48" s="44" t="s">
        <v>9</v>
      </c>
      <c r="I48" s="42">
        <v>1163</v>
      </c>
      <c r="J48" s="42">
        <v>31</v>
      </c>
      <c r="K48" s="42">
        <v>15</v>
      </c>
      <c r="L48" s="42">
        <v>15</v>
      </c>
    </row>
    <row r="49" spans="2:12" ht="12.75" customHeight="1" thickBot="1" x14ac:dyDescent="0.35">
      <c r="B49" s="44" t="s">
        <v>19</v>
      </c>
      <c r="C49" s="42">
        <v>1221.1500000000001</v>
      </c>
      <c r="D49" s="42">
        <v>47</v>
      </c>
      <c r="E49" s="42">
        <v>22</v>
      </c>
      <c r="F49" s="42">
        <v>25</v>
      </c>
      <c r="H49" s="44" t="s">
        <v>19</v>
      </c>
      <c r="I49" s="42">
        <v>861.19</v>
      </c>
      <c r="J49" s="42">
        <v>34</v>
      </c>
      <c r="K49" s="42">
        <v>18</v>
      </c>
      <c r="L49" s="42">
        <v>16</v>
      </c>
    </row>
    <row r="50" spans="2:12" ht="12.75" customHeight="1" thickBot="1" x14ac:dyDescent="0.35">
      <c r="B50" s="44" t="s">
        <v>20</v>
      </c>
      <c r="C50" s="42">
        <v>1724.15</v>
      </c>
      <c r="D50" s="42">
        <v>48</v>
      </c>
      <c r="E50" s="42">
        <v>24</v>
      </c>
      <c r="F50" s="42">
        <v>24</v>
      </c>
      <c r="H50" s="44" t="s">
        <v>20</v>
      </c>
      <c r="I50" s="42">
        <v>996.34</v>
      </c>
      <c r="J50" s="42">
        <v>35</v>
      </c>
      <c r="K50" s="42">
        <v>19</v>
      </c>
      <c r="L50" s="42">
        <v>16</v>
      </c>
    </row>
    <row r="51" spans="2:12" ht="12.75" customHeight="1" thickBot="1" x14ac:dyDescent="0.35">
      <c r="B51" s="44" t="s">
        <v>21</v>
      </c>
      <c r="C51" s="42">
        <v>468.2</v>
      </c>
      <c r="D51" s="42">
        <v>44</v>
      </c>
      <c r="E51" s="42">
        <v>23</v>
      </c>
      <c r="F51" s="42">
        <v>21</v>
      </c>
      <c r="H51" s="44" t="s">
        <v>21</v>
      </c>
      <c r="I51" s="42">
        <v>458.19</v>
      </c>
      <c r="J51" s="42">
        <v>35</v>
      </c>
      <c r="K51" s="42">
        <v>17</v>
      </c>
      <c r="L51" s="42">
        <v>18</v>
      </c>
    </row>
    <row r="52" spans="2:12" ht="12.75" customHeight="1" thickBot="1" x14ac:dyDescent="0.35">
      <c r="B52" s="44" t="s">
        <v>22</v>
      </c>
      <c r="C52" s="42">
        <v>-266.45</v>
      </c>
      <c r="D52" s="42">
        <v>46</v>
      </c>
      <c r="E52" s="42">
        <v>21</v>
      </c>
      <c r="F52" s="42">
        <v>25</v>
      </c>
      <c r="H52" s="44" t="s">
        <v>22</v>
      </c>
      <c r="I52" s="42">
        <v>649.94000000000005</v>
      </c>
      <c r="J52" s="42">
        <v>47</v>
      </c>
      <c r="K52" s="42">
        <v>25</v>
      </c>
      <c r="L52" s="42">
        <v>22</v>
      </c>
    </row>
    <row r="53" spans="2:12" ht="12.75" customHeight="1" thickBot="1" x14ac:dyDescent="0.35">
      <c r="B53" s="44" t="s">
        <v>23</v>
      </c>
      <c r="C53" s="42">
        <v>-369.9</v>
      </c>
      <c r="D53" s="42">
        <v>44</v>
      </c>
      <c r="E53" s="42">
        <v>17</v>
      </c>
      <c r="F53" s="42">
        <v>27</v>
      </c>
      <c r="H53" s="44" t="s">
        <v>23</v>
      </c>
      <c r="I53" s="42">
        <v>603.29</v>
      </c>
      <c r="J53" s="42">
        <v>41</v>
      </c>
      <c r="K53" s="42">
        <v>17</v>
      </c>
      <c r="L53" s="42">
        <v>24</v>
      </c>
    </row>
    <row r="54" spans="2:12" ht="12.75" customHeight="1" thickBot="1" x14ac:dyDescent="0.35">
      <c r="B54" s="44" t="s">
        <v>24</v>
      </c>
      <c r="C54" s="42">
        <v>-408.6</v>
      </c>
      <c r="D54" s="42">
        <v>52</v>
      </c>
      <c r="E54" s="42">
        <v>22</v>
      </c>
      <c r="F54" s="42">
        <v>30</v>
      </c>
      <c r="H54" s="44" t="s">
        <v>24</v>
      </c>
      <c r="I54" s="42">
        <v>1585.19</v>
      </c>
      <c r="J54" s="42">
        <v>36</v>
      </c>
      <c r="K54" s="42">
        <v>20</v>
      </c>
      <c r="L54" s="42">
        <v>16</v>
      </c>
    </row>
    <row r="55" spans="2:12" ht="12.75" customHeight="1" thickBot="1" x14ac:dyDescent="0.35">
      <c r="B55" s="44" t="s">
        <v>10</v>
      </c>
      <c r="C55" s="42">
        <v>1538.4</v>
      </c>
      <c r="D55" s="42">
        <v>62</v>
      </c>
      <c r="E55" s="42">
        <v>30</v>
      </c>
      <c r="F55" s="42">
        <v>32</v>
      </c>
      <c r="H55" s="44" t="s">
        <v>10</v>
      </c>
      <c r="I55" s="42">
        <v>1326.54</v>
      </c>
      <c r="J55" s="42">
        <v>35</v>
      </c>
      <c r="K55" s="42">
        <v>18</v>
      </c>
      <c r="L55" s="42">
        <v>17</v>
      </c>
    </row>
    <row r="56" spans="2:12" ht="12.75" customHeight="1" thickBot="1" x14ac:dyDescent="0.35">
      <c r="B56" s="44" t="s">
        <v>25</v>
      </c>
      <c r="C56" s="37">
        <v>-529.44000000000005</v>
      </c>
      <c r="D56" s="37">
        <v>89</v>
      </c>
      <c r="E56" s="37">
        <v>39</v>
      </c>
      <c r="F56" s="38">
        <f t="shared" ref="F56:F57" si="10">D56-E56</f>
        <v>50</v>
      </c>
      <c r="H56" s="44" t="s">
        <v>25</v>
      </c>
      <c r="I56" s="37">
        <v>-410.9</v>
      </c>
      <c r="J56" s="37">
        <v>65</v>
      </c>
      <c r="K56" s="37">
        <v>26</v>
      </c>
      <c r="L56" s="38">
        <f t="shared" ref="L56:L57" si="11">J56-K56</f>
        <v>39</v>
      </c>
    </row>
    <row r="57" spans="2:12" ht="12.75" customHeight="1" thickBot="1" x14ac:dyDescent="0.35">
      <c r="B57" s="44" t="s">
        <v>26</v>
      </c>
      <c r="C57" s="39">
        <v>-3239.29</v>
      </c>
      <c r="D57" s="39">
        <v>89</v>
      </c>
      <c r="E57" s="39">
        <v>30</v>
      </c>
      <c r="F57" s="40">
        <f t="shared" si="10"/>
        <v>59</v>
      </c>
      <c r="H57" s="44" t="s">
        <v>26</v>
      </c>
      <c r="I57" s="39">
        <v>-1055.05</v>
      </c>
      <c r="J57" s="39">
        <v>75</v>
      </c>
      <c r="K57" s="39">
        <v>28</v>
      </c>
      <c r="L57" s="40">
        <f t="shared" si="11"/>
        <v>47</v>
      </c>
    </row>
    <row r="58" spans="2:12" ht="12.75" customHeight="1" x14ac:dyDescent="0.3">
      <c r="D58" s="29">
        <f>SUM(D48:D57)</f>
        <v>571</v>
      </c>
      <c r="E58" s="29">
        <f>SUM(E48:E57)</f>
        <v>250</v>
      </c>
      <c r="F58" s="29">
        <f>SUM(F48:F57)</f>
        <v>321</v>
      </c>
      <c r="J58" s="29">
        <f t="shared" ref="J58:L58" si="12">SUM(J48:J57)</f>
        <v>434</v>
      </c>
      <c r="K58" s="29">
        <f t="shared" si="12"/>
        <v>203</v>
      </c>
      <c r="L58" s="29">
        <f t="shared" si="12"/>
        <v>230</v>
      </c>
    </row>
    <row r="59" spans="2:12" ht="12.75" customHeight="1" x14ac:dyDescent="0.3">
      <c r="C59" s="30" t="s">
        <v>14</v>
      </c>
      <c r="D59" s="30">
        <f>D58+D44+D30+D16</f>
        <v>1929</v>
      </c>
      <c r="E59" s="30">
        <f t="shared" ref="E59:F59" si="13">E58+E44+E30+E16</f>
        <v>843</v>
      </c>
      <c r="F59" s="30">
        <f t="shared" si="13"/>
        <v>1086</v>
      </c>
      <c r="I59" s="30" t="s">
        <v>15</v>
      </c>
      <c r="J59" s="30">
        <f t="shared" ref="J59:L59" si="14">J58+J44+J30+J16</f>
        <v>1839</v>
      </c>
      <c r="K59" s="30">
        <f t="shared" si="14"/>
        <v>807</v>
      </c>
      <c r="L59" s="30">
        <f t="shared" si="14"/>
        <v>1031</v>
      </c>
    </row>
    <row r="60" spans="2:12" ht="12.75" customHeight="1" x14ac:dyDescent="0.3"/>
    <row r="61" spans="2:12" ht="12.75" customHeight="1" x14ac:dyDescent="0.3">
      <c r="C61" s="31" t="s">
        <v>16</v>
      </c>
      <c r="D61" s="31">
        <f>D59+J59</f>
        <v>3768</v>
      </c>
      <c r="E61" s="31">
        <f t="shared" ref="E61" si="15">E59+K59</f>
        <v>1650</v>
      </c>
      <c r="F61" s="31">
        <f>F59+L59</f>
        <v>2117</v>
      </c>
    </row>
    <row r="62" spans="2:12" ht="12.75" customHeight="1" x14ac:dyDescent="0.3">
      <c r="C62" s="32" t="s">
        <v>17</v>
      </c>
      <c r="D62" s="33">
        <f>E61/D61</f>
        <v>0.43789808917197454</v>
      </c>
    </row>
    <row r="63" spans="2:12" ht="12.75" customHeight="1" x14ac:dyDescent="0.3">
      <c r="C63" s="32" t="s">
        <v>18</v>
      </c>
      <c r="D63" s="33">
        <f>1-D62</f>
        <v>0.56210191082802541</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A37" workbookViewId="0">
      <selection activeCell="B37" sqref="B1:B1048576"/>
    </sheetView>
  </sheetViews>
  <sheetFormatPr defaultColWidth="12.6640625" defaultRowHeight="15" customHeight="1" x14ac:dyDescent="0.3"/>
  <cols>
    <col min="1" max="2" width="12.6640625" style="25"/>
    <col min="3" max="3" width="18.5546875" style="25" customWidth="1"/>
    <col min="4" max="4" width="31.88671875" style="25" customWidth="1"/>
    <col min="5" max="5" width="20.5546875" style="25" customWidth="1"/>
    <col min="6" max="6" width="23.21875" style="25" customWidth="1"/>
    <col min="7" max="8" width="12.6640625" style="25"/>
    <col min="9" max="9" width="18.5546875" style="25" customWidth="1"/>
    <col min="10" max="10" width="32" style="25" customWidth="1"/>
    <col min="11" max="11" width="22.109375" style="25" customWidth="1"/>
    <col min="12" max="12" width="24.5546875" style="25" customWidth="1"/>
    <col min="13" max="16384" width="12.6640625" style="25"/>
  </cols>
  <sheetData>
    <row r="1" spans="1:12" ht="15.75" customHeight="1" x14ac:dyDescent="0.3">
      <c r="A1" s="21"/>
      <c r="B1" s="59" t="s">
        <v>0</v>
      </c>
      <c r="C1" s="60"/>
      <c r="D1" s="60"/>
      <c r="E1" s="60"/>
      <c r="F1" s="60"/>
      <c r="G1" s="60"/>
      <c r="H1" s="60"/>
      <c r="I1" s="60"/>
      <c r="J1" s="60"/>
      <c r="K1" s="60"/>
      <c r="L1" s="60"/>
    </row>
    <row r="2" spans="1:12" ht="15.75" customHeight="1" x14ac:dyDescent="0.3">
      <c r="A2" s="21"/>
      <c r="B2" s="21"/>
      <c r="C2" s="26"/>
      <c r="D2" s="26"/>
      <c r="E2" s="26"/>
      <c r="F2" s="26"/>
      <c r="H2" s="21"/>
    </row>
    <row r="3" spans="1:12" ht="15.75" customHeight="1" x14ac:dyDescent="0.3">
      <c r="A3" s="21"/>
      <c r="B3" s="61" t="s">
        <v>1</v>
      </c>
      <c r="C3" s="60"/>
      <c r="D3" s="60"/>
      <c r="E3" s="60"/>
      <c r="F3" s="60"/>
      <c r="H3" s="61" t="s">
        <v>2</v>
      </c>
      <c r="I3" s="60"/>
      <c r="J3" s="60"/>
      <c r="K3" s="60"/>
      <c r="L3" s="60"/>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-357.69</v>
      </c>
      <c r="D6" s="26">
        <v>50</v>
      </c>
      <c r="E6" s="26">
        <v>23</v>
      </c>
      <c r="F6" s="34">
        <f t="shared" ref="F6:F15" si="0">D6-E6</f>
        <v>27</v>
      </c>
      <c r="H6" s="44" t="s">
        <v>9</v>
      </c>
      <c r="I6" s="26">
        <v>529</v>
      </c>
      <c r="J6" s="26">
        <v>49</v>
      </c>
      <c r="K6" s="26">
        <v>26</v>
      </c>
      <c r="L6" s="34">
        <v>19</v>
      </c>
    </row>
    <row r="7" spans="1:12" ht="15.75" customHeight="1" thickBot="1" x14ac:dyDescent="0.35">
      <c r="A7" s="20"/>
      <c r="B7" s="44" t="s">
        <v>19</v>
      </c>
      <c r="C7" s="26">
        <v>1560.85</v>
      </c>
      <c r="D7" s="26">
        <v>53</v>
      </c>
      <c r="E7" s="26">
        <v>30</v>
      </c>
      <c r="F7" s="34">
        <f t="shared" si="0"/>
        <v>23</v>
      </c>
      <c r="H7" s="44" t="s">
        <v>19</v>
      </c>
      <c r="I7" s="26">
        <v>-1390.35</v>
      </c>
      <c r="J7" s="26">
        <v>56</v>
      </c>
      <c r="K7" s="26">
        <v>25</v>
      </c>
      <c r="L7" s="34">
        <f t="shared" ref="L7:L15" si="1">J7-K7</f>
        <v>31</v>
      </c>
    </row>
    <row r="8" spans="1:12" ht="15.75" customHeight="1" thickBot="1" x14ac:dyDescent="0.35">
      <c r="A8" s="7"/>
      <c r="B8" s="44" t="s">
        <v>20</v>
      </c>
      <c r="C8" s="26">
        <v>484.95</v>
      </c>
      <c r="D8" s="26">
        <v>53</v>
      </c>
      <c r="E8" s="26">
        <v>24</v>
      </c>
      <c r="F8" s="34">
        <f t="shared" si="0"/>
        <v>29</v>
      </c>
      <c r="H8" s="44" t="s">
        <v>20</v>
      </c>
      <c r="I8" s="26">
        <v>36.35</v>
      </c>
      <c r="J8" s="26">
        <v>51</v>
      </c>
      <c r="K8" s="26">
        <v>24</v>
      </c>
      <c r="L8" s="34">
        <f t="shared" si="1"/>
        <v>27</v>
      </c>
    </row>
    <row r="9" spans="1:12" ht="15.75" customHeight="1" thickBot="1" x14ac:dyDescent="0.35">
      <c r="A9" s="20"/>
      <c r="B9" s="44" t="s">
        <v>21</v>
      </c>
      <c r="C9" s="26">
        <v>63.49</v>
      </c>
      <c r="D9" s="26">
        <v>49</v>
      </c>
      <c r="E9" s="26">
        <v>22</v>
      </c>
      <c r="F9" s="34">
        <f t="shared" si="0"/>
        <v>27</v>
      </c>
      <c r="H9" s="44" t="s">
        <v>21</v>
      </c>
      <c r="I9" s="26">
        <v>-827.84</v>
      </c>
      <c r="J9" s="26">
        <v>46</v>
      </c>
      <c r="K9" s="26">
        <v>21</v>
      </c>
      <c r="L9" s="34">
        <f t="shared" si="1"/>
        <v>25</v>
      </c>
    </row>
    <row r="10" spans="1:12" ht="15.75" customHeight="1" thickBot="1" x14ac:dyDescent="0.35">
      <c r="A10" s="7"/>
      <c r="B10" s="44" t="s">
        <v>22</v>
      </c>
      <c r="C10" s="26">
        <v>1846.75</v>
      </c>
      <c r="D10" s="26">
        <v>50</v>
      </c>
      <c r="E10" s="26">
        <v>27</v>
      </c>
      <c r="F10" s="34">
        <f t="shared" si="0"/>
        <v>23</v>
      </c>
      <c r="H10" s="44" t="s">
        <v>22</v>
      </c>
      <c r="I10" s="26">
        <v>216.7</v>
      </c>
      <c r="J10" s="26">
        <v>48</v>
      </c>
      <c r="K10" s="26">
        <v>23</v>
      </c>
      <c r="L10" s="34">
        <f t="shared" si="1"/>
        <v>25</v>
      </c>
    </row>
    <row r="11" spans="1:12" ht="15.75" customHeight="1" thickBot="1" x14ac:dyDescent="0.35">
      <c r="A11" s="7"/>
      <c r="B11" s="44" t="s">
        <v>23</v>
      </c>
      <c r="C11" s="26">
        <v>-70.7</v>
      </c>
      <c r="D11" s="26">
        <v>51</v>
      </c>
      <c r="E11" s="26">
        <v>23</v>
      </c>
      <c r="F11" s="34">
        <f t="shared" si="0"/>
        <v>28</v>
      </c>
      <c r="H11" s="44" t="s">
        <v>23</v>
      </c>
      <c r="I11" s="26">
        <v>1373.6</v>
      </c>
      <c r="J11" s="26">
        <v>57</v>
      </c>
      <c r="K11" s="26">
        <v>31</v>
      </c>
      <c r="L11" s="34">
        <f t="shared" si="1"/>
        <v>26</v>
      </c>
    </row>
    <row r="12" spans="1:12" ht="15.75" customHeight="1" thickBot="1" x14ac:dyDescent="0.35">
      <c r="A12" s="20"/>
      <c r="B12" s="44" t="s">
        <v>24</v>
      </c>
      <c r="C12" s="26">
        <v>-1126.55</v>
      </c>
      <c r="D12" s="26">
        <v>54</v>
      </c>
      <c r="E12" s="26">
        <v>22</v>
      </c>
      <c r="F12" s="34">
        <f t="shared" si="0"/>
        <v>32</v>
      </c>
      <c r="H12" s="44" t="s">
        <v>24</v>
      </c>
      <c r="I12" s="26">
        <v>1142.3</v>
      </c>
      <c r="J12" s="26">
        <v>53</v>
      </c>
      <c r="K12" s="26">
        <v>25</v>
      </c>
      <c r="L12" s="34">
        <f t="shared" si="1"/>
        <v>28</v>
      </c>
    </row>
    <row r="13" spans="1:12" ht="15.75" customHeight="1" thickBot="1" x14ac:dyDescent="0.35">
      <c r="A13" s="7"/>
      <c r="B13" s="44" t="s">
        <v>10</v>
      </c>
      <c r="C13" s="26">
        <v>562.4</v>
      </c>
      <c r="D13" s="26">
        <v>50</v>
      </c>
      <c r="E13" s="26">
        <v>27</v>
      </c>
      <c r="F13" s="34">
        <f t="shared" si="0"/>
        <v>23</v>
      </c>
      <c r="H13" s="44" t="s">
        <v>10</v>
      </c>
      <c r="I13" s="26">
        <v>1255.3499999999999</v>
      </c>
      <c r="J13" s="26">
        <v>49</v>
      </c>
      <c r="K13" s="26">
        <v>23</v>
      </c>
      <c r="L13" s="34">
        <f t="shared" si="1"/>
        <v>26</v>
      </c>
    </row>
    <row r="14" spans="1:12" ht="15.75" customHeight="1" thickBot="1" x14ac:dyDescent="0.35">
      <c r="A14" s="20"/>
      <c r="B14" s="44" t="s">
        <v>25</v>
      </c>
      <c r="C14" s="26">
        <v>2255.5</v>
      </c>
      <c r="D14" s="26">
        <v>47</v>
      </c>
      <c r="E14" s="26">
        <v>26</v>
      </c>
      <c r="F14" s="34">
        <f t="shared" si="0"/>
        <v>21</v>
      </c>
      <c r="H14" s="44" t="s">
        <v>25</v>
      </c>
      <c r="I14" s="26">
        <v>195.15</v>
      </c>
      <c r="J14" s="26">
        <v>50</v>
      </c>
      <c r="K14" s="26">
        <v>27</v>
      </c>
      <c r="L14" s="34">
        <f t="shared" si="1"/>
        <v>23</v>
      </c>
    </row>
    <row r="15" spans="1:12" ht="15.75" customHeight="1" thickBot="1" x14ac:dyDescent="0.35">
      <c r="A15" s="7"/>
      <c r="B15" s="44" t="s">
        <v>26</v>
      </c>
      <c r="C15" s="35">
        <v>2250.4</v>
      </c>
      <c r="D15" s="35">
        <v>49</v>
      </c>
      <c r="E15" s="35">
        <v>25</v>
      </c>
      <c r="F15" s="36">
        <f t="shared" si="0"/>
        <v>24</v>
      </c>
      <c r="H15" s="44" t="s">
        <v>26</v>
      </c>
      <c r="I15" s="35">
        <v>-44.55</v>
      </c>
      <c r="J15" s="35">
        <v>52</v>
      </c>
      <c r="K15" s="35">
        <v>23</v>
      </c>
      <c r="L15" s="36">
        <f t="shared" si="1"/>
        <v>29</v>
      </c>
    </row>
    <row r="16" spans="1:12" ht="12.75" customHeight="1" x14ac:dyDescent="0.3">
      <c r="D16" s="29">
        <f>SUM(D6:D15)</f>
        <v>506</v>
      </c>
      <c r="E16" s="29">
        <f t="shared" ref="E16:F16" si="2">SUM(E6:E15)</f>
        <v>249</v>
      </c>
      <c r="F16" s="29">
        <f t="shared" si="2"/>
        <v>257</v>
      </c>
      <c r="J16" s="29">
        <f t="shared" ref="J16:L16" si="3">SUM(J6:J15)</f>
        <v>511</v>
      </c>
      <c r="K16" s="29">
        <f t="shared" si="3"/>
        <v>248</v>
      </c>
      <c r="L16" s="29">
        <f t="shared" si="3"/>
        <v>259</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-651.45000000000005</v>
      </c>
      <c r="D20" s="26">
        <v>47</v>
      </c>
      <c r="E20" s="26">
        <v>16</v>
      </c>
      <c r="F20" s="34">
        <f t="shared" ref="F20:F29" si="4">D20-E20</f>
        <v>31</v>
      </c>
      <c r="H20" s="44" t="s">
        <v>9</v>
      </c>
      <c r="I20" s="26">
        <v>813.1</v>
      </c>
      <c r="J20" s="26">
        <v>43</v>
      </c>
      <c r="K20" s="26">
        <v>26</v>
      </c>
      <c r="L20" s="34">
        <f t="shared" ref="L20:L29" si="5">J20-K20</f>
        <v>17</v>
      </c>
    </row>
    <row r="21" spans="2:12" ht="15.75" customHeight="1" thickBot="1" x14ac:dyDescent="0.35">
      <c r="B21" s="44" t="s">
        <v>19</v>
      </c>
      <c r="C21" s="26">
        <v>933.1</v>
      </c>
      <c r="D21" s="26">
        <v>50</v>
      </c>
      <c r="E21" s="26">
        <v>24</v>
      </c>
      <c r="F21" s="34">
        <f t="shared" si="4"/>
        <v>26</v>
      </c>
      <c r="H21" s="44" t="s">
        <v>19</v>
      </c>
      <c r="I21" s="26">
        <v>808.5</v>
      </c>
      <c r="J21" s="26">
        <v>47</v>
      </c>
      <c r="K21" s="26">
        <v>28</v>
      </c>
      <c r="L21" s="34">
        <f t="shared" si="5"/>
        <v>19</v>
      </c>
    </row>
    <row r="22" spans="2:12" ht="15.75" customHeight="1" thickBot="1" x14ac:dyDescent="0.35">
      <c r="B22" s="44" t="s">
        <v>20</v>
      </c>
      <c r="C22" s="26">
        <v>-200.85</v>
      </c>
      <c r="D22" s="26">
        <v>49</v>
      </c>
      <c r="E22" s="26">
        <v>27</v>
      </c>
      <c r="F22" s="34">
        <f t="shared" si="4"/>
        <v>22</v>
      </c>
      <c r="H22" s="44" t="s">
        <v>20</v>
      </c>
      <c r="I22" s="26">
        <v>798.1</v>
      </c>
      <c r="J22" s="26">
        <v>47</v>
      </c>
      <c r="K22" s="26">
        <v>24</v>
      </c>
      <c r="L22" s="34">
        <f t="shared" si="5"/>
        <v>23</v>
      </c>
    </row>
    <row r="23" spans="2:12" ht="15.75" customHeight="1" thickBot="1" x14ac:dyDescent="0.35">
      <c r="B23" s="44" t="s">
        <v>21</v>
      </c>
      <c r="C23" s="26">
        <v>-556.41999999999996</v>
      </c>
      <c r="D23" s="26">
        <v>53</v>
      </c>
      <c r="E23" s="26">
        <v>23</v>
      </c>
      <c r="F23" s="34">
        <f t="shared" si="4"/>
        <v>30</v>
      </c>
      <c r="H23" s="44" t="s">
        <v>21</v>
      </c>
      <c r="I23" s="26">
        <v>584.28</v>
      </c>
      <c r="J23" s="26">
        <v>48</v>
      </c>
      <c r="K23" s="26">
        <v>25</v>
      </c>
      <c r="L23" s="34">
        <f t="shared" si="5"/>
        <v>23</v>
      </c>
    </row>
    <row r="24" spans="2:12" ht="15.75" customHeight="1" thickBot="1" x14ac:dyDescent="0.35">
      <c r="B24" s="44" t="s">
        <v>22</v>
      </c>
      <c r="C24" s="26">
        <v>851.4</v>
      </c>
      <c r="D24" s="26">
        <v>49</v>
      </c>
      <c r="E24" s="26">
        <v>26</v>
      </c>
      <c r="F24" s="34">
        <f t="shared" si="4"/>
        <v>23</v>
      </c>
      <c r="H24" s="44" t="s">
        <v>22</v>
      </c>
      <c r="I24" s="26">
        <v>-879.4</v>
      </c>
      <c r="J24" s="26">
        <v>47</v>
      </c>
      <c r="K24" s="26">
        <v>18</v>
      </c>
      <c r="L24" s="34">
        <f t="shared" si="5"/>
        <v>29</v>
      </c>
    </row>
    <row r="25" spans="2:12" ht="15.75" customHeight="1" thickBot="1" x14ac:dyDescent="0.35">
      <c r="B25" s="44" t="s">
        <v>23</v>
      </c>
      <c r="C25" s="26">
        <v>-1637.65</v>
      </c>
      <c r="D25" s="26">
        <v>55</v>
      </c>
      <c r="E25" s="26">
        <v>21</v>
      </c>
      <c r="F25" s="34">
        <f t="shared" si="4"/>
        <v>34</v>
      </c>
      <c r="H25" s="44" t="s">
        <v>23</v>
      </c>
      <c r="I25" s="26">
        <v>69.099999999999994</v>
      </c>
      <c r="J25" s="26">
        <v>52</v>
      </c>
      <c r="K25" s="26">
        <v>27</v>
      </c>
      <c r="L25" s="34">
        <f t="shared" si="5"/>
        <v>25</v>
      </c>
    </row>
    <row r="26" spans="2:12" ht="15.75" customHeight="1" thickBot="1" x14ac:dyDescent="0.35">
      <c r="B26" s="44" t="s">
        <v>24</v>
      </c>
      <c r="C26" s="26">
        <v>-1187.05</v>
      </c>
      <c r="D26" s="26">
        <v>55</v>
      </c>
      <c r="E26" s="26">
        <v>21</v>
      </c>
      <c r="F26" s="34">
        <f t="shared" si="4"/>
        <v>34</v>
      </c>
      <c r="H26" s="44" t="s">
        <v>24</v>
      </c>
      <c r="I26" s="26">
        <v>568.15</v>
      </c>
      <c r="J26" s="26">
        <v>48</v>
      </c>
      <c r="K26" s="26">
        <v>22</v>
      </c>
      <c r="L26" s="34">
        <f t="shared" si="5"/>
        <v>26</v>
      </c>
    </row>
    <row r="27" spans="2:12" ht="12.75" customHeight="1" thickBot="1" x14ac:dyDescent="0.35">
      <c r="B27" s="44" t="s">
        <v>10</v>
      </c>
      <c r="C27" s="26">
        <v>128.30000000000001</v>
      </c>
      <c r="D27" s="26">
        <v>49</v>
      </c>
      <c r="E27" s="26">
        <v>25</v>
      </c>
      <c r="F27" s="34">
        <f t="shared" si="4"/>
        <v>24</v>
      </c>
      <c r="H27" s="44" t="s">
        <v>10</v>
      </c>
      <c r="I27" s="26">
        <v>656.35</v>
      </c>
      <c r="J27" s="26">
        <v>57</v>
      </c>
      <c r="K27" s="26">
        <v>26</v>
      </c>
      <c r="L27" s="34">
        <f t="shared" si="5"/>
        <v>31</v>
      </c>
    </row>
    <row r="28" spans="2:12" ht="12.75" customHeight="1" thickBot="1" x14ac:dyDescent="0.35">
      <c r="B28" s="44" t="s">
        <v>25</v>
      </c>
      <c r="C28" s="26">
        <v>-901.3</v>
      </c>
      <c r="D28" s="26">
        <v>55</v>
      </c>
      <c r="E28" s="26">
        <v>22</v>
      </c>
      <c r="F28" s="34">
        <f t="shared" si="4"/>
        <v>33</v>
      </c>
      <c r="H28" s="44" t="s">
        <v>25</v>
      </c>
      <c r="I28" s="26">
        <v>-436.85</v>
      </c>
      <c r="J28" s="26">
        <v>49</v>
      </c>
      <c r="K28" s="26">
        <v>25</v>
      </c>
      <c r="L28" s="34">
        <f t="shared" si="5"/>
        <v>24</v>
      </c>
    </row>
    <row r="29" spans="2:12" ht="12.75" customHeight="1" thickBot="1" x14ac:dyDescent="0.35">
      <c r="B29" s="44" t="s">
        <v>26</v>
      </c>
      <c r="C29" s="35">
        <v>-393.9</v>
      </c>
      <c r="D29" s="35">
        <v>50</v>
      </c>
      <c r="E29" s="35">
        <v>19</v>
      </c>
      <c r="F29" s="36">
        <f t="shared" si="4"/>
        <v>31</v>
      </c>
      <c r="H29" s="44" t="s">
        <v>26</v>
      </c>
      <c r="I29" s="26">
        <v>1563.45</v>
      </c>
      <c r="J29" s="35">
        <v>47</v>
      </c>
      <c r="K29" s="35">
        <v>18</v>
      </c>
      <c r="L29" s="36">
        <f t="shared" si="5"/>
        <v>29</v>
      </c>
    </row>
    <row r="30" spans="2:12" ht="12.75" customHeight="1" x14ac:dyDescent="0.3">
      <c r="D30" s="29">
        <f>SUM(D20:D29)</f>
        <v>512</v>
      </c>
      <c r="E30" s="29">
        <f>SUM(E20:E29)</f>
        <v>224</v>
      </c>
      <c r="F30" s="29">
        <f>SUM(F20:F29)</f>
        <v>288</v>
      </c>
      <c r="J30" s="29">
        <f t="shared" ref="J30:L30" si="6">SUM(J20:J29)</f>
        <v>485</v>
      </c>
      <c r="K30" s="29">
        <f t="shared" si="6"/>
        <v>239</v>
      </c>
      <c r="L30" s="29">
        <f t="shared" si="6"/>
        <v>246</v>
      </c>
    </row>
    <row r="31" spans="2:12" ht="12.75" customHeight="1" x14ac:dyDescent="0.3"/>
    <row r="32" spans="2:12" ht="12.75" customHeight="1" x14ac:dyDescent="0.3">
      <c r="B32" s="22" t="s">
        <v>12</v>
      </c>
      <c r="C32" s="27"/>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26">
        <v>582</v>
      </c>
      <c r="D34" s="26">
        <v>46</v>
      </c>
      <c r="E34" s="26">
        <v>23</v>
      </c>
      <c r="F34" s="34">
        <f t="shared" ref="F34:F43" si="7">D34-E34</f>
        <v>23</v>
      </c>
      <c r="H34" s="44" t="s">
        <v>9</v>
      </c>
      <c r="I34" s="26">
        <v>-509.14</v>
      </c>
      <c r="J34" s="26">
        <v>49</v>
      </c>
      <c r="K34" s="26">
        <v>27</v>
      </c>
      <c r="L34" s="34">
        <f t="shared" ref="L34:L43" si="8">J34-K34</f>
        <v>22</v>
      </c>
    </row>
    <row r="35" spans="2:12" ht="12.75" customHeight="1" thickBot="1" x14ac:dyDescent="0.35">
      <c r="B35" s="44" t="s">
        <v>19</v>
      </c>
      <c r="C35" s="26">
        <v>-28.85</v>
      </c>
      <c r="D35" s="26">
        <v>47</v>
      </c>
      <c r="E35" s="26">
        <v>25</v>
      </c>
      <c r="F35" s="34">
        <f t="shared" si="7"/>
        <v>22</v>
      </c>
      <c r="H35" s="44" t="s">
        <v>19</v>
      </c>
      <c r="I35" s="26">
        <v>-285.39999999999998</v>
      </c>
      <c r="J35" s="26">
        <v>50</v>
      </c>
      <c r="K35" s="26">
        <v>23</v>
      </c>
      <c r="L35" s="34">
        <f t="shared" si="8"/>
        <v>27</v>
      </c>
    </row>
    <row r="36" spans="2:12" ht="12.75" customHeight="1" thickBot="1" x14ac:dyDescent="0.35">
      <c r="B36" s="44" t="s">
        <v>20</v>
      </c>
      <c r="C36" s="26">
        <v>464.2</v>
      </c>
      <c r="D36" s="26">
        <v>46</v>
      </c>
      <c r="E36" s="26">
        <v>27</v>
      </c>
      <c r="F36" s="34">
        <f t="shared" si="7"/>
        <v>19</v>
      </c>
      <c r="H36" s="44" t="s">
        <v>20</v>
      </c>
      <c r="I36" s="26">
        <v>-895.55</v>
      </c>
      <c r="J36" s="26">
        <v>48</v>
      </c>
      <c r="K36" s="26">
        <v>18</v>
      </c>
      <c r="L36" s="34">
        <f t="shared" si="8"/>
        <v>30</v>
      </c>
    </row>
    <row r="37" spans="2:12" ht="12.75" customHeight="1" thickBot="1" x14ac:dyDescent="0.35">
      <c r="B37" s="44" t="s">
        <v>21</v>
      </c>
      <c r="C37" s="26">
        <v>389.4</v>
      </c>
      <c r="D37" s="26">
        <v>49</v>
      </c>
      <c r="E37" s="26">
        <v>25</v>
      </c>
      <c r="F37" s="34">
        <f t="shared" si="7"/>
        <v>24</v>
      </c>
      <c r="H37" s="44" t="s">
        <v>21</v>
      </c>
      <c r="I37" s="26">
        <v>-358.88</v>
      </c>
      <c r="J37" s="26">
        <v>51</v>
      </c>
      <c r="K37" s="26">
        <v>22</v>
      </c>
      <c r="L37" s="34">
        <f t="shared" si="8"/>
        <v>29</v>
      </c>
    </row>
    <row r="38" spans="2:12" ht="12.75" customHeight="1" thickBot="1" x14ac:dyDescent="0.35">
      <c r="B38" s="44" t="s">
        <v>22</v>
      </c>
      <c r="C38" s="26">
        <v>862.8</v>
      </c>
      <c r="D38" s="26">
        <v>44</v>
      </c>
      <c r="E38" s="26">
        <v>24</v>
      </c>
      <c r="F38" s="34">
        <f t="shared" si="7"/>
        <v>20</v>
      </c>
      <c r="H38" s="44" t="s">
        <v>22</v>
      </c>
      <c r="I38" s="26">
        <v>58</v>
      </c>
      <c r="J38" s="26">
        <v>46</v>
      </c>
      <c r="K38" s="26">
        <v>25</v>
      </c>
      <c r="L38" s="34">
        <f t="shared" si="8"/>
        <v>21</v>
      </c>
    </row>
    <row r="39" spans="2:12" ht="12.75" customHeight="1" thickBot="1" x14ac:dyDescent="0.35">
      <c r="B39" s="44" t="s">
        <v>23</v>
      </c>
      <c r="C39" s="26">
        <v>-453.95</v>
      </c>
      <c r="D39" s="26">
        <v>47</v>
      </c>
      <c r="E39" s="26">
        <v>21</v>
      </c>
      <c r="F39" s="34">
        <f t="shared" si="7"/>
        <v>26</v>
      </c>
      <c r="H39" s="44" t="s">
        <v>23</v>
      </c>
      <c r="I39" s="26">
        <v>802.8</v>
      </c>
      <c r="J39" s="26">
        <v>46</v>
      </c>
      <c r="K39" s="26">
        <v>24</v>
      </c>
      <c r="L39" s="34">
        <f t="shared" si="8"/>
        <v>22</v>
      </c>
    </row>
    <row r="40" spans="2:12" ht="12.75" customHeight="1" thickBot="1" x14ac:dyDescent="0.35">
      <c r="B40" s="44" t="s">
        <v>24</v>
      </c>
      <c r="C40" s="26">
        <v>-1119.3499999999999</v>
      </c>
      <c r="D40" s="26">
        <v>50</v>
      </c>
      <c r="E40" s="26">
        <v>17</v>
      </c>
      <c r="F40" s="34">
        <f t="shared" si="7"/>
        <v>33</v>
      </c>
      <c r="H40" s="44" t="s">
        <v>24</v>
      </c>
      <c r="I40" s="26">
        <v>-825.1</v>
      </c>
      <c r="J40" s="26">
        <v>50</v>
      </c>
      <c r="K40" s="26">
        <v>19</v>
      </c>
      <c r="L40" s="34">
        <f t="shared" si="8"/>
        <v>31</v>
      </c>
    </row>
    <row r="41" spans="2:12" ht="12.75" customHeight="1" thickBot="1" x14ac:dyDescent="0.35">
      <c r="B41" s="44" t="s">
        <v>10</v>
      </c>
      <c r="C41" s="26">
        <v>-1230.8499999999999</v>
      </c>
      <c r="D41" s="26">
        <v>59</v>
      </c>
      <c r="E41" s="26">
        <v>22</v>
      </c>
      <c r="F41" s="34">
        <f t="shared" si="7"/>
        <v>37</v>
      </c>
      <c r="H41" s="44" t="s">
        <v>10</v>
      </c>
      <c r="I41" s="26">
        <v>13.45</v>
      </c>
      <c r="J41" s="26">
        <v>57</v>
      </c>
      <c r="K41" s="26">
        <v>28</v>
      </c>
      <c r="L41" s="34">
        <f t="shared" si="8"/>
        <v>29</v>
      </c>
    </row>
    <row r="42" spans="2:12" ht="12.75" customHeight="1" thickBot="1" x14ac:dyDescent="0.35">
      <c r="B42" s="44" t="s">
        <v>25</v>
      </c>
      <c r="C42" s="26">
        <v>842.35</v>
      </c>
      <c r="D42" s="26">
        <v>51</v>
      </c>
      <c r="E42" s="26">
        <v>26</v>
      </c>
      <c r="F42" s="34">
        <f t="shared" si="7"/>
        <v>25</v>
      </c>
      <c r="H42" s="44" t="s">
        <v>25</v>
      </c>
      <c r="I42" s="26">
        <v>-836.7</v>
      </c>
      <c r="J42" s="26">
        <v>60</v>
      </c>
      <c r="K42" s="26">
        <v>24</v>
      </c>
      <c r="L42" s="34">
        <f t="shared" si="8"/>
        <v>36</v>
      </c>
    </row>
    <row r="43" spans="2:12" ht="12.75" customHeight="1" thickBot="1" x14ac:dyDescent="0.35">
      <c r="B43" s="44" t="s">
        <v>26</v>
      </c>
      <c r="C43" s="35">
        <v>2496.65</v>
      </c>
      <c r="D43" s="35">
        <v>48</v>
      </c>
      <c r="E43" s="35">
        <v>24</v>
      </c>
      <c r="F43" s="36">
        <f t="shared" si="7"/>
        <v>24</v>
      </c>
      <c r="H43" s="44" t="s">
        <v>26</v>
      </c>
      <c r="I43" s="35">
        <v>-528.70000000000005</v>
      </c>
      <c r="J43" s="35">
        <v>47</v>
      </c>
      <c r="K43" s="35">
        <v>20</v>
      </c>
      <c r="L43" s="36">
        <f t="shared" si="8"/>
        <v>27</v>
      </c>
    </row>
    <row r="44" spans="2:12" ht="12.75" customHeight="1" x14ac:dyDescent="0.3">
      <c r="D44" s="29">
        <f>SUM(D34:D43)</f>
        <v>487</v>
      </c>
      <c r="E44" s="29">
        <f>SUM(E34:E43)</f>
        <v>234</v>
      </c>
      <c r="F44" s="29">
        <f>SUM(F34:F43)</f>
        <v>253</v>
      </c>
      <c r="J44" s="29">
        <f t="shared" ref="J44:L44" si="9">SUM(J34:J43)</f>
        <v>504</v>
      </c>
      <c r="K44" s="29">
        <f t="shared" si="9"/>
        <v>230</v>
      </c>
      <c r="L44" s="29">
        <f t="shared" si="9"/>
        <v>274</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37">
        <v>-1362.05</v>
      </c>
      <c r="D48" s="37">
        <v>46</v>
      </c>
      <c r="E48" s="37">
        <v>21</v>
      </c>
      <c r="F48" s="38">
        <f t="shared" ref="F48:F57" si="10">D48-E48</f>
        <v>25</v>
      </c>
      <c r="H48" s="44" t="s">
        <v>9</v>
      </c>
      <c r="I48" s="37">
        <v>1704</v>
      </c>
      <c r="J48" s="37">
        <v>48</v>
      </c>
      <c r="K48" s="37">
        <v>27</v>
      </c>
      <c r="L48" s="38">
        <f t="shared" ref="L48:L57" si="11">J48-K48</f>
        <v>21</v>
      </c>
    </row>
    <row r="49" spans="2:12" ht="12.75" customHeight="1" thickBot="1" x14ac:dyDescent="0.35">
      <c r="B49" s="44" t="s">
        <v>19</v>
      </c>
      <c r="C49" s="37">
        <v>-271.5</v>
      </c>
      <c r="D49" s="37">
        <v>45</v>
      </c>
      <c r="E49" s="37">
        <v>22</v>
      </c>
      <c r="F49" s="38">
        <f t="shared" si="10"/>
        <v>23</v>
      </c>
      <c r="H49" s="44" t="s">
        <v>19</v>
      </c>
      <c r="I49" s="37">
        <v>2001.95</v>
      </c>
      <c r="J49" s="37">
        <v>48</v>
      </c>
      <c r="K49" s="37">
        <v>29</v>
      </c>
      <c r="L49" s="38">
        <f t="shared" si="11"/>
        <v>19</v>
      </c>
    </row>
    <row r="50" spans="2:12" ht="12.75" customHeight="1" thickBot="1" x14ac:dyDescent="0.35">
      <c r="B50" s="44" t="s">
        <v>20</v>
      </c>
      <c r="C50" s="37">
        <v>1167.0999999999999</v>
      </c>
      <c r="D50" s="37">
        <v>51</v>
      </c>
      <c r="E50" s="37">
        <v>31</v>
      </c>
      <c r="F50" s="38">
        <f t="shared" si="10"/>
        <v>20</v>
      </c>
      <c r="H50" s="44" t="s">
        <v>20</v>
      </c>
      <c r="I50" s="37">
        <v>-617.85</v>
      </c>
      <c r="J50" s="37">
        <v>55</v>
      </c>
      <c r="K50" s="37">
        <v>23</v>
      </c>
      <c r="L50" s="38">
        <f t="shared" si="11"/>
        <v>32</v>
      </c>
    </row>
    <row r="51" spans="2:12" ht="12.75" customHeight="1" thickBot="1" x14ac:dyDescent="0.35">
      <c r="B51" s="44" t="s">
        <v>21</v>
      </c>
      <c r="C51" s="37">
        <v>-221.05</v>
      </c>
      <c r="D51" s="37">
        <v>45</v>
      </c>
      <c r="E51" s="37">
        <v>23</v>
      </c>
      <c r="F51" s="38">
        <f t="shared" si="10"/>
        <v>22</v>
      </c>
      <c r="H51" s="44" t="s">
        <v>21</v>
      </c>
      <c r="I51" s="37">
        <v>-836.67</v>
      </c>
      <c r="J51" s="37">
        <v>49</v>
      </c>
      <c r="K51" s="37">
        <v>24</v>
      </c>
      <c r="L51" s="38">
        <f t="shared" si="11"/>
        <v>25</v>
      </c>
    </row>
    <row r="52" spans="2:12" ht="12.75" customHeight="1" thickBot="1" x14ac:dyDescent="0.35">
      <c r="B52" s="44" t="s">
        <v>22</v>
      </c>
      <c r="C52" s="37">
        <v>1068.9000000000001</v>
      </c>
      <c r="D52" s="37">
        <v>50</v>
      </c>
      <c r="E52" s="37">
        <v>27</v>
      </c>
      <c r="F52" s="38">
        <f t="shared" si="10"/>
        <v>23</v>
      </c>
      <c r="H52" s="44" t="s">
        <v>22</v>
      </c>
      <c r="I52" s="37">
        <v>-60.05</v>
      </c>
      <c r="J52" s="37">
        <v>51</v>
      </c>
      <c r="K52" s="37">
        <v>26</v>
      </c>
      <c r="L52" s="38">
        <f t="shared" si="11"/>
        <v>25</v>
      </c>
    </row>
    <row r="53" spans="2:12" ht="12.75" customHeight="1" thickBot="1" x14ac:dyDescent="0.35">
      <c r="B53" s="44" t="s">
        <v>23</v>
      </c>
      <c r="C53" s="37">
        <v>-941.85</v>
      </c>
      <c r="D53" s="37">
        <v>61</v>
      </c>
      <c r="E53" s="37">
        <v>25</v>
      </c>
      <c r="F53" s="38">
        <f t="shared" si="10"/>
        <v>36</v>
      </c>
      <c r="H53" s="44" t="s">
        <v>23</v>
      </c>
      <c r="I53" s="37">
        <v>-1025.8</v>
      </c>
      <c r="J53" s="37">
        <v>58</v>
      </c>
      <c r="K53" s="37">
        <v>25</v>
      </c>
      <c r="L53" s="38">
        <f t="shared" si="11"/>
        <v>33</v>
      </c>
    </row>
    <row r="54" spans="2:12" ht="12.75" customHeight="1" thickBot="1" x14ac:dyDescent="0.35">
      <c r="B54" s="44" t="s">
        <v>24</v>
      </c>
      <c r="C54" s="37">
        <v>834.7</v>
      </c>
      <c r="D54" s="37">
        <v>58</v>
      </c>
      <c r="E54" s="37">
        <v>28</v>
      </c>
      <c r="F54" s="38">
        <f t="shared" si="10"/>
        <v>30</v>
      </c>
      <c r="H54" s="44" t="s">
        <v>24</v>
      </c>
      <c r="I54" s="37">
        <v>-3235.85</v>
      </c>
      <c r="J54" s="37">
        <v>59</v>
      </c>
      <c r="K54" s="37">
        <v>20</v>
      </c>
      <c r="L54" s="38">
        <f t="shared" si="11"/>
        <v>39</v>
      </c>
    </row>
    <row r="55" spans="2:12" ht="12.75" customHeight="1" thickBot="1" x14ac:dyDescent="0.35">
      <c r="B55" s="44" t="s">
        <v>10</v>
      </c>
      <c r="C55" s="37">
        <v>880.95</v>
      </c>
      <c r="D55" s="37">
        <v>56</v>
      </c>
      <c r="E55" s="37">
        <v>26</v>
      </c>
      <c r="F55" s="38">
        <f t="shared" si="10"/>
        <v>30</v>
      </c>
      <c r="H55" s="44" t="s">
        <v>10</v>
      </c>
      <c r="I55" s="37">
        <v>1314.5</v>
      </c>
      <c r="J55" s="37">
        <v>54</v>
      </c>
      <c r="K55" s="37">
        <v>25</v>
      </c>
      <c r="L55" s="38">
        <f t="shared" si="11"/>
        <v>29</v>
      </c>
    </row>
    <row r="56" spans="2:12" ht="12.75" customHeight="1" thickBot="1" x14ac:dyDescent="0.35">
      <c r="B56" s="44" t="s">
        <v>25</v>
      </c>
      <c r="C56" s="37">
        <v>-505.2</v>
      </c>
      <c r="D56" s="37">
        <v>51</v>
      </c>
      <c r="E56" s="37">
        <v>23</v>
      </c>
      <c r="F56" s="38">
        <f t="shared" si="10"/>
        <v>28</v>
      </c>
      <c r="H56" s="44" t="s">
        <v>25</v>
      </c>
      <c r="I56" s="37">
        <v>1682.9</v>
      </c>
      <c r="J56" s="37">
        <v>48</v>
      </c>
      <c r="K56" s="37">
        <v>21</v>
      </c>
      <c r="L56" s="38">
        <f t="shared" si="11"/>
        <v>27</v>
      </c>
    </row>
    <row r="57" spans="2:12" ht="12.75" customHeight="1" thickBot="1" x14ac:dyDescent="0.35">
      <c r="B57" s="44" t="s">
        <v>26</v>
      </c>
      <c r="C57" s="39">
        <v>-304.35000000000002</v>
      </c>
      <c r="D57" s="39">
        <v>45</v>
      </c>
      <c r="E57" s="39">
        <v>20</v>
      </c>
      <c r="F57" s="40">
        <f t="shared" si="10"/>
        <v>25</v>
      </c>
      <c r="H57" s="44" t="s">
        <v>26</v>
      </c>
      <c r="I57" s="39">
        <v>1781.4</v>
      </c>
      <c r="J57" s="39">
        <v>48</v>
      </c>
      <c r="K57" s="39">
        <v>25</v>
      </c>
      <c r="L57" s="40">
        <f t="shared" si="11"/>
        <v>23</v>
      </c>
    </row>
    <row r="58" spans="2:12" ht="12.75" customHeight="1" x14ac:dyDescent="0.3">
      <c r="D58" s="29">
        <f>SUM(D48:D57)</f>
        <v>508</v>
      </c>
      <c r="E58" s="29">
        <f>SUM(E48:E57)</f>
        <v>246</v>
      </c>
      <c r="F58" s="29">
        <f>SUM(F48:F57)</f>
        <v>262</v>
      </c>
      <c r="J58" s="29">
        <f t="shared" ref="J58:L58" si="12">SUM(J48:J57)</f>
        <v>518</v>
      </c>
      <c r="K58" s="29">
        <f t="shared" si="12"/>
        <v>245</v>
      </c>
      <c r="L58" s="29">
        <f t="shared" si="12"/>
        <v>273</v>
      </c>
    </row>
    <row r="59" spans="2:12" ht="12.75" customHeight="1" x14ac:dyDescent="0.3">
      <c r="C59" s="30" t="s">
        <v>14</v>
      </c>
      <c r="D59" s="30">
        <f>D58+D44+D30+D16</f>
        <v>2013</v>
      </c>
      <c r="E59" s="30">
        <f t="shared" ref="E59:F59" si="13">E58+E44+E30+E16</f>
        <v>953</v>
      </c>
      <c r="F59" s="30">
        <f t="shared" si="13"/>
        <v>1060</v>
      </c>
      <c r="I59" s="30" t="s">
        <v>15</v>
      </c>
      <c r="J59" s="30">
        <f t="shared" ref="J59:L59" si="14">J58+J44+J30+J16</f>
        <v>2018</v>
      </c>
      <c r="K59" s="30">
        <f t="shared" si="14"/>
        <v>962</v>
      </c>
      <c r="L59" s="30">
        <f t="shared" si="14"/>
        <v>1052</v>
      </c>
    </row>
    <row r="60" spans="2:12" ht="12.75" customHeight="1" x14ac:dyDescent="0.3"/>
    <row r="61" spans="2:12" ht="12.75" customHeight="1" x14ac:dyDescent="0.3">
      <c r="C61" s="31" t="s">
        <v>16</v>
      </c>
      <c r="D61" s="31">
        <f>D59+J59</f>
        <v>4031</v>
      </c>
      <c r="E61" s="31">
        <f t="shared" ref="E61" si="15">E59+K59</f>
        <v>1915</v>
      </c>
      <c r="F61" s="31">
        <f>F59+L59</f>
        <v>2112</v>
      </c>
    </row>
    <row r="62" spans="2:12" ht="12.75" customHeight="1" x14ac:dyDescent="0.3">
      <c r="C62" s="32" t="s">
        <v>17</v>
      </c>
      <c r="D62" s="33">
        <f>E61/D61</f>
        <v>0.47506822128504095</v>
      </c>
    </row>
    <row r="63" spans="2:12" ht="12.75" customHeight="1" x14ac:dyDescent="0.3">
      <c r="C63" s="32" t="s">
        <v>18</v>
      </c>
      <c r="D63" s="33">
        <f>1-D62</f>
        <v>0.524931778714959</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B32" workbookViewId="0">
      <selection activeCell="H32" sqref="H1:H1048576"/>
    </sheetView>
  </sheetViews>
  <sheetFormatPr defaultColWidth="12.6640625" defaultRowHeight="15" customHeight="1" x14ac:dyDescent="0.3"/>
  <cols>
    <col min="2" max="2" width="12.6640625" style="25"/>
    <col min="3" max="3" width="15" customWidth="1"/>
    <col min="4" max="4" width="25.77734375" customWidth="1"/>
    <col min="5" max="5" width="18.33203125" customWidth="1"/>
    <col min="6" max="6" width="20" customWidth="1"/>
    <col min="8" max="8" width="12.6640625" style="25"/>
    <col min="9" max="9" width="15.21875" customWidth="1"/>
    <col min="10" max="10" width="26.44140625" customWidth="1"/>
    <col min="11" max="11" width="17.33203125" customWidth="1"/>
    <col min="12" max="12" width="19.6640625" customWidth="1"/>
  </cols>
  <sheetData>
    <row r="1" spans="1:12" ht="15.75" customHeight="1" x14ac:dyDescent="0.3">
      <c r="A1" s="1"/>
      <c r="B1" s="65" t="s">
        <v>0</v>
      </c>
      <c r="C1" s="66"/>
      <c r="D1" s="66"/>
      <c r="E1" s="66"/>
      <c r="F1" s="66"/>
      <c r="G1" s="66"/>
      <c r="H1" s="66"/>
      <c r="I1" s="66"/>
      <c r="J1" s="66"/>
      <c r="K1" s="66"/>
      <c r="L1" s="66"/>
    </row>
    <row r="2" spans="1:12" ht="15.75" customHeight="1" x14ac:dyDescent="0.3">
      <c r="A2" s="1"/>
      <c r="B2" s="21"/>
      <c r="C2" s="2"/>
      <c r="D2" s="2"/>
      <c r="E2" s="2"/>
      <c r="F2" s="2"/>
      <c r="H2" s="21"/>
    </row>
    <row r="3" spans="1:12" ht="15.75" customHeight="1" x14ac:dyDescent="0.3">
      <c r="A3" s="1"/>
      <c r="B3" s="67" t="s">
        <v>1</v>
      </c>
      <c r="C3" s="66"/>
      <c r="D3" s="66"/>
      <c r="E3" s="66"/>
      <c r="F3" s="66"/>
      <c r="H3" s="67" t="s">
        <v>2</v>
      </c>
      <c r="I3" s="66"/>
      <c r="J3" s="66"/>
      <c r="K3" s="66"/>
      <c r="L3" s="66"/>
    </row>
    <row r="4" spans="1:12" ht="15.75" customHeight="1" x14ac:dyDescent="0.3">
      <c r="A4" s="1"/>
      <c r="B4" s="22" t="s">
        <v>3</v>
      </c>
      <c r="C4" s="3"/>
      <c r="D4" s="3"/>
      <c r="E4" s="3"/>
      <c r="F4" s="4"/>
      <c r="H4" s="22" t="s">
        <v>3</v>
      </c>
      <c r="I4" s="3"/>
      <c r="J4" s="3"/>
      <c r="K4" s="3"/>
      <c r="L4" s="4"/>
    </row>
    <row r="5" spans="1:12" ht="15.75" customHeight="1" thickBot="1" x14ac:dyDescent="0.35">
      <c r="A5" s="1"/>
      <c r="B5" s="23" t="s">
        <v>4</v>
      </c>
      <c r="C5" s="5" t="s">
        <v>5</v>
      </c>
      <c r="D5" s="6" t="s">
        <v>6</v>
      </c>
      <c r="E5" s="6" t="s">
        <v>7</v>
      </c>
      <c r="F5" s="6" t="s">
        <v>8</v>
      </c>
      <c r="H5" s="23" t="s">
        <v>4</v>
      </c>
      <c r="I5" s="5" t="s">
        <v>5</v>
      </c>
      <c r="J5" s="6" t="s">
        <v>6</v>
      </c>
      <c r="K5" s="6" t="s">
        <v>7</v>
      </c>
      <c r="L5" s="6" t="s">
        <v>8</v>
      </c>
    </row>
    <row r="6" spans="1:12" ht="15.75" customHeight="1" thickBot="1" x14ac:dyDescent="0.35">
      <c r="A6" s="7"/>
      <c r="B6" s="44" t="s">
        <v>9</v>
      </c>
      <c r="C6" s="8">
        <v>395.2</v>
      </c>
      <c r="D6" s="8">
        <v>63</v>
      </c>
      <c r="E6" s="8">
        <v>34</v>
      </c>
      <c r="F6" s="9">
        <f t="shared" ref="F6:F15" si="0">D6-E6</f>
        <v>29</v>
      </c>
      <c r="H6" s="44" t="s">
        <v>9</v>
      </c>
      <c r="I6" s="8">
        <v>526.29999999999995</v>
      </c>
      <c r="J6" s="8">
        <v>66</v>
      </c>
      <c r="K6" s="8">
        <v>32</v>
      </c>
      <c r="L6" s="9">
        <v>19</v>
      </c>
    </row>
    <row r="7" spans="1:12" ht="15.75" customHeight="1" thickBot="1" x14ac:dyDescent="0.35">
      <c r="A7" s="10"/>
      <c r="B7" s="44" t="s">
        <v>19</v>
      </c>
      <c r="C7" s="8">
        <v>214.55</v>
      </c>
      <c r="D7" s="8">
        <v>70</v>
      </c>
      <c r="E7" s="8">
        <v>37</v>
      </c>
      <c r="F7" s="9">
        <f t="shared" si="0"/>
        <v>33</v>
      </c>
      <c r="H7" s="44" t="s">
        <v>19</v>
      </c>
      <c r="I7" s="8">
        <v>766.5</v>
      </c>
      <c r="J7" s="8">
        <v>70</v>
      </c>
      <c r="K7" s="8">
        <v>34</v>
      </c>
      <c r="L7" s="9">
        <f t="shared" ref="L7:L15" si="1">J7-K7</f>
        <v>36</v>
      </c>
    </row>
    <row r="8" spans="1:12" ht="15.75" customHeight="1" thickBot="1" x14ac:dyDescent="0.35">
      <c r="A8" s="7"/>
      <c r="B8" s="44" t="s">
        <v>20</v>
      </c>
      <c r="C8" s="8">
        <v>2534</v>
      </c>
      <c r="D8" s="8">
        <v>75</v>
      </c>
      <c r="E8" s="8">
        <v>36</v>
      </c>
      <c r="F8" s="9">
        <f t="shared" si="0"/>
        <v>39</v>
      </c>
      <c r="H8" s="44" t="s">
        <v>20</v>
      </c>
      <c r="I8" s="8">
        <v>3259.3</v>
      </c>
      <c r="J8" s="8">
        <v>73</v>
      </c>
      <c r="K8" s="8">
        <v>42</v>
      </c>
      <c r="L8" s="9">
        <f t="shared" si="1"/>
        <v>31</v>
      </c>
    </row>
    <row r="9" spans="1:12" ht="15.75" customHeight="1" thickBot="1" x14ac:dyDescent="0.35">
      <c r="A9" s="10"/>
      <c r="B9" s="44" t="s">
        <v>21</v>
      </c>
      <c r="C9" s="8">
        <v>285.39999999999998</v>
      </c>
      <c r="D9" s="8">
        <v>71</v>
      </c>
      <c r="E9" s="8">
        <v>47</v>
      </c>
      <c r="F9" s="9">
        <f t="shared" si="0"/>
        <v>24</v>
      </c>
      <c r="H9" s="44" t="s">
        <v>21</v>
      </c>
      <c r="I9" s="8">
        <v>608.61</v>
      </c>
      <c r="J9" s="8">
        <v>76</v>
      </c>
      <c r="K9" s="8">
        <v>35</v>
      </c>
      <c r="L9" s="9">
        <f t="shared" si="1"/>
        <v>41</v>
      </c>
    </row>
    <row r="10" spans="1:12" ht="15.75" customHeight="1" thickBot="1" x14ac:dyDescent="0.35">
      <c r="A10" s="7"/>
      <c r="B10" s="44" t="s">
        <v>22</v>
      </c>
      <c r="C10" s="8">
        <v>858.85</v>
      </c>
      <c r="D10" s="8">
        <v>79</v>
      </c>
      <c r="E10" s="8">
        <v>39</v>
      </c>
      <c r="F10" s="9">
        <f t="shared" si="0"/>
        <v>40</v>
      </c>
      <c r="H10" s="44" t="s">
        <v>22</v>
      </c>
      <c r="I10" s="8">
        <v>1753.05</v>
      </c>
      <c r="J10" s="8">
        <v>82</v>
      </c>
      <c r="K10" s="8">
        <v>40</v>
      </c>
      <c r="L10" s="9">
        <f t="shared" si="1"/>
        <v>42</v>
      </c>
    </row>
    <row r="11" spans="1:12" ht="15.75" customHeight="1" thickBot="1" x14ac:dyDescent="0.35">
      <c r="A11" s="7"/>
      <c r="B11" s="44" t="s">
        <v>23</v>
      </c>
      <c r="C11" s="8">
        <v>262.60000000000002</v>
      </c>
      <c r="D11" s="8">
        <v>78</v>
      </c>
      <c r="E11" s="8">
        <v>32</v>
      </c>
      <c r="F11" s="9">
        <f t="shared" si="0"/>
        <v>46</v>
      </c>
      <c r="H11" s="44" t="s">
        <v>23</v>
      </c>
      <c r="I11" s="8">
        <v>-665.95</v>
      </c>
      <c r="J11" s="8">
        <v>89</v>
      </c>
      <c r="K11" s="8">
        <v>31</v>
      </c>
      <c r="L11" s="9">
        <f t="shared" si="1"/>
        <v>58</v>
      </c>
    </row>
    <row r="12" spans="1:12" ht="15.75" customHeight="1" thickBot="1" x14ac:dyDescent="0.35">
      <c r="A12" s="10"/>
      <c r="B12" s="44" t="s">
        <v>24</v>
      </c>
      <c r="C12" s="8">
        <v>1417.3</v>
      </c>
      <c r="D12" s="8">
        <v>89</v>
      </c>
      <c r="E12" s="8">
        <v>41</v>
      </c>
      <c r="F12" s="9">
        <f t="shared" si="0"/>
        <v>48</v>
      </c>
      <c r="H12" s="44" t="s">
        <v>24</v>
      </c>
      <c r="I12" s="8">
        <v>857.2</v>
      </c>
      <c r="J12" s="8">
        <v>96</v>
      </c>
      <c r="K12" s="8">
        <v>41</v>
      </c>
      <c r="L12" s="9">
        <f t="shared" si="1"/>
        <v>55</v>
      </c>
    </row>
    <row r="13" spans="1:12" ht="15.75" customHeight="1" thickBot="1" x14ac:dyDescent="0.35">
      <c r="A13" s="7"/>
      <c r="B13" s="44" t="s">
        <v>10</v>
      </c>
      <c r="C13" s="8">
        <v>1614.45</v>
      </c>
      <c r="D13" s="8">
        <v>89</v>
      </c>
      <c r="E13" s="8">
        <v>39</v>
      </c>
      <c r="F13" s="9">
        <f t="shared" si="0"/>
        <v>50</v>
      </c>
      <c r="H13" s="44" t="s">
        <v>10</v>
      </c>
      <c r="I13" s="8">
        <v>2423.1</v>
      </c>
      <c r="J13" s="8">
        <v>97</v>
      </c>
      <c r="K13" s="8">
        <v>47</v>
      </c>
      <c r="L13" s="9">
        <f t="shared" si="1"/>
        <v>50</v>
      </c>
    </row>
    <row r="14" spans="1:12" ht="15.75" customHeight="1" thickBot="1" x14ac:dyDescent="0.35">
      <c r="A14" s="10"/>
      <c r="B14" s="44" t="s">
        <v>25</v>
      </c>
      <c r="C14" s="8">
        <v>3944</v>
      </c>
      <c r="D14" s="8">
        <v>94</v>
      </c>
      <c r="E14" s="8">
        <v>50</v>
      </c>
      <c r="F14" s="9">
        <f t="shared" si="0"/>
        <v>44</v>
      </c>
      <c r="H14" s="44" t="s">
        <v>25</v>
      </c>
      <c r="I14" s="8">
        <v>2639.2</v>
      </c>
      <c r="J14" s="8">
        <v>96</v>
      </c>
      <c r="K14" s="8">
        <v>44</v>
      </c>
      <c r="L14" s="9">
        <f t="shared" si="1"/>
        <v>52</v>
      </c>
    </row>
    <row r="15" spans="1:12" ht="15.75" customHeight="1" thickBot="1" x14ac:dyDescent="0.35">
      <c r="A15" s="7"/>
      <c r="B15" s="44" t="s">
        <v>26</v>
      </c>
      <c r="C15" s="11">
        <v>10162.549999999999</v>
      </c>
      <c r="D15" s="11">
        <v>95</v>
      </c>
      <c r="E15" s="11">
        <v>56</v>
      </c>
      <c r="F15" s="12">
        <f t="shared" si="0"/>
        <v>39</v>
      </c>
      <c r="H15" s="44" t="s">
        <v>26</v>
      </c>
      <c r="I15" s="11">
        <v>7376</v>
      </c>
      <c r="J15" s="11">
        <v>90</v>
      </c>
      <c r="K15" s="11">
        <v>46</v>
      </c>
      <c r="L15" s="12">
        <f t="shared" si="1"/>
        <v>44</v>
      </c>
    </row>
    <row r="16" spans="1:12" s="25" customFormat="1" ht="12.75" customHeight="1" x14ac:dyDescent="0.3">
      <c r="D16" s="29">
        <f>SUM(D6:D15)</f>
        <v>803</v>
      </c>
      <c r="E16" s="29">
        <f t="shared" ref="E16:F16" si="2">SUM(E6:E15)</f>
        <v>411</v>
      </c>
      <c r="F16" s="29">
        <f t="shared" si="2"/>
        <v>392</v>
      </c>
      <c r="J16" s="29">
        <f t="shared" ref="J16:L16" si="3">SUM(J6:J15)</f>
        <v>835</v>
      </c>
      <c r="K16" s="29">
        <f t="shared" si="3"/>
        <v>392</v>
      </c>
      <c r="L16" s="29">
        <f t="shared" si="3"/>
        <v>428</v>
      </c>
    </row>
    <row r="17" spans="2:12" ht="12.75" customHeight="1" x14ac:dyDescent="0.3"/>
    <row r="18" spans="2:12" ht="15.75" customHeight="1" x14ac:dyDescent="0.3">
      <c r="B18" s="22" t="s">
        <v>11</v>
      </c>
      <c r="C18" s="3"/>
      <c r="D18" s="3"/>
      <c r="E18" s="3"/>
      <c r="F18" s="4"/>
      <c r="H18" s="22" t="s">
        <v>11</v>
      </c>
      <c r="I18" s="3"/>
      <c r="J18" s="3"/>
      <c r="K18" s="3"/>
      <c r="L18" s="4"/>
    </row>
    <row r="19" spans="2:12" ht="15.75" customHeight="1" thickBot="1" x14ac:dyDescent="0.35">
      <c r="B19" s="23" t="s">
        <v>4</v>
      </c>
      <c r="C19" s="5" t="s">
        <v>5</v>
      </c>
      <c r="D19" s="6" t="s">
        <v>6</v>
      </c>
      <c r="E19" s="6" t="s">
        <v>7</v>
      </c>
      <c r="F19" s="6" t="s">
        <v>8</v>
      </c>
      <c r="H19" s="23" t="s">
        <v>4</v>
      </c>
      <c r="I19" s="5" t="s">
        <v>5</v>
      </c>
      <c r="J19" s="6" t="s">
        <v>6</v>
      </c>
      <c r="K19" s="6" t="s">
        <v>7</v>
      </c>
      <c r="L19" s="6" t="s">
        <v>8</v>
      </c>
    </row>
    <row r="20" spans="2:12" ht="15.75" customHeight="1" thickBot="1" x14ac:dyDescent="0.3">
      <c r="B20" s="44" t="s">
        <v>9</v>
      </c>
      <c r="C20" s="8">
        <v>-3036.59</v>
      </c>
      <c r="D20" s="8">
        <v>66</v>
      </c>
      <c r="E20" s="8">
        <v>21</v>
      </c>
      <c r="F20" s="9">
        <f t="shared" ref="F20:F29" si="4">D20-E20</f>
        <v>45</v>
      </c>
      <c r="H20" s="44" t="s">
        <v>9</v>
      </c>
      <c r="I20" s="8">
        <v>-3204.39</v>
      </c>
      <c r="J20" s="8">
        <v>66</v>
      </c>
      <c r="K20" s="8">
        <v>20</v>
      </c>
      <c r="L20" s="9">
        <f t="shared" ref="L20:L29" si="5">J20-K20</f>
        <v>46</v>
      </c>
    </row>
    <row r="21" spans="2:12" ht="15.75" customHeight="1" thickBot="1" x14ac:dyDescent="0.3">
      <c r="B21" s="44" t="s">
        <v>19</v>
      </c>
      <c r="C21" s="8">
        <v>-1834.95</v>
      </c>
      <c r="D21" s="8">
        <v>67</v>
      </c>
      <c r="E21" s="8">
        <v>25</v>
      </c>
      <c r="F21" s="9">
        <f t="shared" si="4"/>
        <v>42</v>
      </c>
      <c r="H21" s="44" t="s">
        <v>19</v>
      </c>
      <c r="I21" s="19">
        <v>-1960.35</v>
      </c>
      <c r="J21" s="8">
        <v>71</v>
      </c>
      <c r="K21" s="8">
        <v>25</v>
      </c>
      <c r="L21" s="9">
        <f t="shared" si="5"/>
        <v>46</v>
      </c>
    </row>
    <row r="22" spans="2:12" ht="15.75" customHeight="1" thickBot="1" x14ac:dyDescent="0.3">
      <c r="B22" s="44" t="s">
        <v>20</v>
      </c>
      <c r="C22" s="8">
        <v>-1843.75</v>
      </c>
      <c r="D22" s="8">
        <v>69</v>
      </c>
      <c r="E22" s="8">
        <v>25</v>
      </c>
      <c r="F22" s="9">
        <f t="shared" si="4"/>
        <v>44</v>
      </c>
      <c r="H22" s="44" t="s">
        <v>20</v>
      </c>
      <c r="I22" s="8">
        <v>-2601.4</v>
      </c>
      <c r="J22" s="8">
        <v>76</v>
      </c>
      <c r="K22" s="8">
        <v>30</v>
      </c>
      <c r="L22" s="9">
        <f t="shared" si="5"/>
        <v>46</v>
      </c>
    </row>
    <row r="23" spans="2:12" ht="15.75" customHeight="1" thickBot="1" x14ac:dyDescent="0.3">
      <c r="B23" s="44" t="s">
        <v>21</v>
      </c>
      <c r="C23" s="8">
        <v>-1919.13</v>
      </c>
      <c r="D23" s="8">
        <v>67</v>
      </c>
      <c r="E23" s="8">
        <v>24</v>
      </c>
      <c r="F23" s="9">
        <f t="shared" si="4"/>
        <v>43</v>
      </c>
      <c r="H23" s="44" t="s">
        <v>21</v>
      </c>
      <c r="I23" s="8">
        <v>-1637.06</v>
      </c>
      <c r="J23" s="8">
        <v>72</v>
      </c>
      <c r="K23" s="8">
        <v>29</v>
      </c>
      <c r="L23" s="9">
        <f t="shared" si="5"/>
        <v>43</v>
      </c>
    </row>
    <row r="24" spans="2:12" ht="15.75" customHeight="1" thickBot="1" x14ac:dyDescent="0.3">
      <c r="B24" s="44" t="s">
        <v>22</v>
      </c>
      <c r="C24" s="8">
        <v>-914.65</v>
      </c>
      <c r="D24" s="8">
        <v>69</v>
      </c>
      <c r="E24" s="8">
        <v>31</v>
      </c>
      <c r="F24" s="9">
        <f t="shared" si="4"/>
        <v>38</v>
      </c>
      <c r="H24" s="44" t="s">
        <v>22</v>
      </c>
      <c r="I24" s="8">
        <v>-1466.25</v>
      </c>
      <c r="J24" s="8">
        <v>76</v>
      </c>
      <c r="K24" s="8">
        <v>33</v>
      </c>
      <c r="L24" s="9">
        <f t="shared" si="5"/>
        <v>43</v>
      </c>
    </row>
    <row r="25" spans="2:12" ht="15.75" customHeight="1" thickBot="1" x14ac:dyDescent="0.3">
      <c r="B25" s="44" t="s">
        <v>23</v>
      </c>
      <c r="C25" s="8">
        <v>-2040.25</v>
      </c>
      <c r="D25" s="8">
        <v>74</v>
      </c>
      <c r="E25" s="8">
        <v>24</v>
      </c>
      <c r="F25" s="9">
        <f t="shared" si="4"/>
        <v>50</v>
      </c>
      <c r="H25" s="44" t="s">
        <v>23</v>
      </c>
      <c r="I25" s="8">
        <v>-1640.7</v>
      </c>
      <c r="J25" s="8">
        <v>86</v>
      </c>
      <c r="K25" s="8">
        <v>34</v>
      </c>
      <c r="L25" s="9">
        <f t="shared" si="5"/>
        <v>52</v>
      </c>
    </row>
    <row r="26" spans="2:12" ht="15.75" customHeight="1" thickBot="1" x14ac:dyDescent="0.3">
      <c r="B26" s="44" t="s">
        <v>24</v>
      </c>
      <c r="C26" s="8">
        <v>-2724.1</v>
      </c>
      <c r="D26" s="8">
        <v>76</v>
      </c>
      <c r="E26" s="8">
        <v>23</v>
      </c>
      <c r="F26" s="9">
        <f t="shared" si="4"/>
        <v>53</v>
      </c>
      <c r="H26" s="44" t="s">
        <v>24</v>
      </c>
      <c r="I26" s="8">
        <v>-2274.6999999999998</v>
      </c>
      <c r="J26" s="8">
        <v>79</v>
      </c>
      <c r="K26" s="8">
        <v>28</v>
      </c>
      <c r="L26" s="9">
        <f t="shared" si="5"/>
        <v>51</v>
      </c>
    </row>
    <row r="27" spans="2:12" ht="12.75" customHeight="1" thickBot="1" x14ac:dyDescent="0.3">
      <c r="B27" s="44" t="s">
        <v>10</v>
      </c>
      <c r="C27" s="8">
        <v>-2231.6999999999998</v>
      </c>
      <c r="D27" s="8">
        <v>82</v>
      </c>
      <c r="E27" s="8">
        <v>32</v>
      </c>
      <c r="F27" s="9">
        <f t="shared" si="4"/>
        <v>50</v>
      </c>
      <c r="H27" s="44" t="s">
        <v>10</v>
      </c>
      <c r="I27" s="8">
        <v>-1432.75</v>
      </c>
      <c r="J27" s="8">
        <v>88</v>
      </c>
      <c r="K27" s="8">
        <v>33</v>
      </c>
      <c r="L27" s="9">
        <f t="shared" si="5"/>
        <v>55</v>
      </c>
    </row>
    <row r="28" spans="2:12" ht="12.75" customHeight="1" thickBot="1" x14ac:dyDescent="0.3">
      <c r="B28" s="44" t="s">
        <v>25</v>
      </c>
      <c r="C28" s="8">
        <v>-1905.95</v>
      </c>
      <c r="D28" s="8">
        <v>86</v>
      </c>
      <c r="E28" s="8">
        <v>29</v>
      </c>
      <c r="F28" s="9">
        <f t="shared" si="4"/>
        <v>57</v>
      </c>
      <c r="H28" s="44" t="s">
        <v>25</v>
      </c>
      <c r="I28" s="8">
        <v>-2449.85</v>
      </c>
      <c r="J28" s="8">
        <v>94</v>
      </c>
      <c r="K28" s="8">
        <v>34</v>
      </c>
      <c r="L28" s="9">
        <f t="shared" si="5"/>
        <v>60</v>
      </c>
    </row>
    <row r="29" spans="2:12" ht="12.75" customHeight="1" thickBot="1" x14ac:dyDescent="0.3">
      <c r="B29" s="44" t="s">
        <v>26</v>
      </c>
      <c r="C29" s="11">
        <v>-1611.25</v>
      </c>
      <c r="D29" s="11">
        <v>84</v>
      </c>
      <c r="E29" s="11">
        <v>30</v>
      </c>
      <c r="F29" s="12">
        <f t="shared" si="4"/>
        <v>54</v>
      </c>
      <c r="H29" s="44" t="s">
        <v>26</v>
      </c>
      <c r="I29" s="8">
        <v>1833.75</v>
      </c>
      <c r="J29" s="11">
        <v>93</v>
      </c>
      <c r="K29" s="11">
        <v>41</v>
      </c>
      <c r="L29" s="12">
        <f t="shared" si="5"/>
        <v>52</v>
      </c>
    </row>
    <row r="30" spans="2:12" s="25" customFormat="1" ht="12.75" customHeight="1" x14ac:dyDescent="0.3">
      <c r="D30" s="29">
        <f>SUM(D20:D29)</f>
        <v>740</v>
      </c>
      <c r="E30" s="29">
        <f>SUM(E20:E29)</f>
        <v>264</v>
      </c>
      <c r="F30" s="29">
        <f>SUM(F20:F29)</f>
        <v>476</v>
      </c>
      <c r="J30" s="29">
        <f t="shared" ref="J30:L30" si="6">SUM(J20:J29)</f>
        <v>801</v>
      </c>
      <c r="K30" s="29">
        <f t="shared" si="6"/>
        <v>307</v>
      </c>
      <c r="L30" s="29">
        <f t="shared" si="6"/>
        <v>494</v>
      </c>
    </row>
    <row r="31" spans="2:12" ht="12.75" customHeight="1" x14ac:dyDescent="0.3"/>
    <row r="32" spans="2:12" ht="12.75" customHeight="1" x14ac:dyDescent="0.3">
      <c r="B32" s="22" t="s">
        <v>12</v>
      </c>
      <c r="C32" s="3"/>
      <c r="D32" s="3"/>
      <c r="E32" s="3"/>
      <c r="F32" s="4"/>
      <c r="H32" s="22" t="s">
        <v>12</v>
      </c>
      <c r="I32" s="3"/>
      <c r="J32" s="3"/>
      <c r="K32" s="3"/>
      <c r="L32" s="4"/>
    </row>
    <row r="33" spans="2:12" ht="12.75" customHeight="1" thickBot="1" x14ac:dyDescent="0.35">
      <c r="B33" s="23" t="s">
        <v>4</v>
      </c>
      <c r="C33" s="5" t="s">
        <v>5</v>
      </c>
      <c r="D33" s="6" t="s">
        <v>6</v>
      </c>
      <c r="E33" s="6" t="s">
        <v>7</v>
      </c>
      <c r="F33" s="6" t="s">
        <v>8</v>
      </c>
      <c r="H33" s="23" t="s">
        <v>4</v>
      </c>
      <c r="I33" s="5" t="s">
        <v>5</v>
      </c>
      <c r="J33" s="6" t="s">
        <v>6</v>
      </c>
      <c r="K33" s="6" t="s">
        <v>7</v>
      </c>
      <c r="L33" s="6" t="s">
        <v>8</v>
      </c>
    </row>
    <row r="34" spans="2:12" ht="12.75" customHeight="1" thickBot="1" x14ac:dyDescent="0.3">
      <c r="B34" s="44" t="s">
        <v>9</v>
      </c>
      <c r="C34" s="8">
        <v>56.8</v>
      </c>
      <c r="D34" s="8">
        <v>61</v>
      </c>
      <c r="E34" s="8">
        <v>28</v>
      </c>
      <c r="F34" s="9">
        <f t="shared" ref="F34:F43" si="7">D34-E34</f>
        <v>33</v>
      </c>
      <c r="H34" s="44" t="s">
        <v>9</v>
      </c>
      <c r="I34" s="8">
        <v>1230.4000000000001</v>
      </c>
      <c r="J34" s="8">
        <v>62</v>
      </c>
      <c r="K34" s="8">
        <v>30</v>
      </c>
      <c r="L34" s="9">
        <f t="shared" ref="L34:L43" si="8">J34-K34</f>
        <v>32</v>
      </c>
    </row>
    <row r="35" spans="2:12" ht="12.75" customHeight="1" thickBot="1" x14ac:dyDescent="0.3">
      <c r="B35" s="44" t="s">
        <v>19</v>
      </c>
      <c r="C35" s="8">
        <v>721.85</v>
      </c>
      <c r="D35" s="8">
        <v>69</v>
      </c>
      <c r="E35" s="8">
        <v>34</v>
      </c>
      <c r="F35" s="9">
        <f t="shared" si="7"/>
        <v>35</v>
      </c>
      <c r="H35" s="44" t="s">
        <v>19</v>
      </c>
      <c r="I35" s="8">
        <v>299.75</v>
      </c>
      <c r="J35" s="8">
        <v>72</v>
      </c>
      <c r="K35" s="8">
        <v>39</v>
      </c>
      <c r="L35" s="9">
        <f t="shared" si="8"/>
        <v>33</v>
      </c>
    </row>
    <row r="36" spans="2:12" ht="12.75" customHeight="1" thickBot="1" x14ac:dyDescent="0.3">
      <c r="B36" s="44" t="s">
        <v>20</v>
      </c>
      <c r="C36" s="8">
        <v>789.2</v>
      </c>
      <c r="D36" s="8">
        <v>70</v>
      </c>
      <c r="E36" s="8">
        <v>37</v>
      </c>
      <c r="F36" s="9">
        <f t="shared" si="7"/>
        <v>33</v>
      </c>
      <c r="H36" s="44" t="s">
        <v>20</v>
      </c>
      <c r="I36" s="8">
        <v>853.05</v>
      </c>
      <c r="J36" s="8">
        <v>74</v>
      </c>
      <c r="K36" s="8">
        <v>37</v>
      </c>
      <c r="L36" s="9">
        <f t="shared" si="8"/>
        <v>37</v>
      </c>
    </row>
    <row r="37" spans="2:12" ht="12.75" customHeight="1" thickBot="1" x14ac:dyDescent="0.3">
      <c r="B37" s="44" t="s">
        <v>21</v>
      </c>
      <c r="C37" s="8">
        <v>1712.73</v>
      </c>
      <c r="D37" s="8">
        <v>67</v>
      </c>
      <c r="E37" s="8">
        <v>32</v>
      </c>
      <c r="F37" s="9">
        <f t="shared" si="7"/>
        <v>35</v>
      </c>
      <c r="H37" s="44" t="s">
        <v>21</v>
      </c>
      <c r="I37" s="8">
        <v>182.17</v>
      </c>
      <c r="J37" s="8">
        <v>69</v>
      </c>
      <c r="K37" s="8">
        <v>31</v>
      </c>
      <c r="L37" s="9">
        <f t="shared" si="8"/>
        <v>38</v>
      </c>
    </row>
    <row r="38" spans="2:12" ht="12.75" customHeight="1" thickBot="1" x14ac:dyDescent="0.3">
      <c r="B38" s="44" t="s">
        <v>22</v>
      </c>
      <c r="C38" s="8">
        <v>311.45</v>
      </c>
      <c r="D38" s="8">
        <v>67</v>
      </c>
      <c r="E38" s="8">
        <v>35</v>
      </c>
      <c r="F38" s="9">
        <f t="shared" si="7"/>
        <v>32</v>
      </c>
      <c r="H38" s="44" t="s">
        <v>22</v>
      </c>
      <c r="I38" s="8">
        <v>-71.099999999999994</v>
      </c>
      <c r="J38" s="8">
        <v>70</v>
      </c>
      <c r="K38" s="8">
        <v>33</v>
      </c>
      <c r="L38" s="9">
        <f t="shared" si="8"/>
        <v>37</v>
      </c>
    </row>
    <row r="39" spans="2:12" ht="12.75" customHeight="1" thickBot="1" x14ac:dyDescent="0.3">
      <c r="B39" s="44" t="s">
        <v>23</v>
      </c>
      <c r="C39" s="8">
        <v>-660.2</v>
      </c>
      <c r="D39" s="8">
        <v>65</v>
      </c>
      <c r="E39" s="8">
        <v>28</v>
      </c>
      <c r="F39" s="9">
        <f t="shared" si="7"/>
        <v>37</v>
      </c>
      <c r="H39" s="44" t="s">
        <v>23</v>
      </c>
      <c r="I39" s="8">
        <v>-1138.2</v>
      </c>
      <c r="J39" s="8">
        <v>71</v>
      </c>
      <c r="K39" s="8">
        <v>29</v>
      </c>
      <c r="L39" s="9">
        <f t="shared" si="8"/>
        <v>42</v>
      </c>
    </row>
    <row r="40" spans="2:12" ht="12.75" customHeight="1" thickBot="1" x14ac:dyDescent="0.3">
      <c r="B40" s="44" t="s">
        <v>24</v>
      </c>
      <c r="C40" s="8">
        <v>-364.15</v>
      </c>
      <c r="D40" s="8">
        <v>73</v>
      </c>
      <c r="E40" s="8">
        <v>32</v>
      </c>
      <c r="F40" s="9">
        <f t="shared" si="7"/>
        <v>41</v>
      </c>
      <c r="H40" s="44" t="s">
        <v>24</v>
      </c>
      <c r="I40" s="8">
        <v>307.35000000000002</v>
      </c>
      <c r="J40" s="8">
        <v>79</v>
      </c>
      <c r="K40" s="8">
        <v>34</v>
      </c>
      <c r="L40" s="9">
        <f t="shared" si="8"/>
        <v>45</v>
      </c>
    </row>
    <row r="41" spans="2:12" ht="12.75" customHeight="1" thickBot="1" x14ac:dyDescent="0.3">
      <c r="B41" s="44" t="s">
        <v>10</v>
      </c>
      <c r="C41" s="8">
        <v>-839.4</v>
      </c>
      <c r="D41" s="8">
        <v>74</v>
      </c>
      <c r="E41" s="8">
        <v>30</v>
      </c>
      <c r="F41" s="9">
        <f t="shared" si="7"/>
        <v>44</v>
      </c>
      <c r="H41" s="44" t="s">
        <v>10</v>
      </c>
      <c r="I41" s="8">
        <v>-220.9</v>
      </c>
      <c r="J41" s="8">
        <v>80</v>
      </c>
      <c r="K41" s="8">
        <v>31</v>
      </c>
      <c r="L41" s="9">
        <f t="shared" si="8"/>
        <v>49</v>
      </c>
    </row>
    <row r="42" spans="2:12" ht="12.75" customHeight="1" thickBot="1" x14ac:dyDescent="0.3">
      <c r="B42" s="44" t="s">
        <v>25</v>
      </c>
      <c r="C42" s="8">
        <v>1167.3</v>
      </c>
      <c r="D42" s="8">
        <v>76</v>
      </c>
      <c r="E42" s="8">
        <v>37</v>
      </c>
      <c r="F42" s="9">
        <f t="shared" si="7"/>
        <v>39</v>
      </c>
      <c r="H42" s="44" t="s">
        <v>25</v>
      </c>
      <c r="I42" s="8">
        <v>2217.25</v>
      </c>
      <c r="J42" s="8">
        <v>76</v>
      </c>
      <c r="K42" s="8">
        <v>39</v>
      </c>
      <c r="L42" s="9">
        <f t="shared" si="8"/>
        <v>37</v>
      </c>
    </row>
    <row r="43" spans="2:12" ht="12.75" customHeight="1" thickBot="1" x14ac:dyDescent="0.3">
      <c r="B43" s="44" t="s">
        <v>26</v>
      </c>
      <c r="C43" s="11">
        <v>2156.5500000000002</v>
      </c>
      <c r="D43" s="11">
        <v>80</v>
      </c>
      <c r="E43" s="11">
        <v>35</v>
      </c>
      <c r="F43" s="12">
        <f t="shared" si="7"/>
        <v>45</v>
      </c>
      <c r="H43" s="44" t="s">
        <v>26</v>
      </c>
      <c r="I43" s="11">
        <v>5276.9</v>
      </c>
      <c r="J43" s="11">
        <v>76</v>
      </c>
      <c r="K43" s="11">
        <v>38</v>
      </c>
      <c r="L43" s="12">
        <f t="shared" si="8"/>
        <v>38</v>
      </c>
    </row>
    <row r="44" spans="2:12" s="25" customFormat="1" ht="12.75" customHeight="1" x14ac:dyDescent="0.3">
      <c r="D44" s="29">
        <f>SUM(D34:D43)</f>
        <v>702</v>
      </c>
      <c r="E44" s="29">
        <f>SUM(E34:E43)</f>
        <v>328</v>
      </c>
      <c r="F44" s="29">
        <f>SUM(F34:F43)</f>
        <v>374</v>
      </c>
      <c r="J44" s="29">
        <f t="shared" ref="J44:L44" si="9">SUM(J34:J43)</f>
        <v>729</v>
      </c>
      <c r="K44" s="29">
        <f t="shared" si="9"/>
        <v>341</v>
      </c>
      <c r="L44" s="29">
        <f t="shared" si="9"/>
        <v>388</v>
      </c>
    </row>
    <row r="45" spans="2:12" ht="12.75" customHeight="1" x14ac:dyDescent="0.3"/>
    <row r="46" spans="2:12" ht="12.75" customHeight="1" x14ac:dyDescent="0.3">
      <c r="B46" s="24" t="s">
        <v>13</v>
      </c>
      <c r="C46" s="13"/>
      <c r="D46" s="13"/>
      <c r="E46" s="13"/>
      <c r="F46" s="14"/>
      <c r="H46" s="24" t="s">
        <v>13</v>
      </c>
      <c r="I46" s="13"/>
      <c r="J46" s="13"/>
      <c r="K46" s="13"/>
      <c r="L46" s="14"/>
    </row>
    <row r="47" spans="2:12" ht="12.75" customHeight="1" thickBot="1" x14ac:dyDescent="0.35">
      <c r="B47" s="23" t="s">
        <v>4</v>
      </c>
      <c r="C47" s="5" t="s">
        <v>5</v>
      </c>
      <c r="D47" s="6" t="s">
        <v>6</v>
      </c>
      <c r="E47" s="6" t="s">
        <v>7</v>
      </c>
      <c r="F47" s="6" t="s">
        <v>8</v>
      </c>
      <c r="H47" s="23" t="s">
        <v>4</v>
      </c>
      <c r="I47" s="5" t="s">
        <v>5</v>
      </c>
      <c r="J47" s="6" t="s">
        <v>6</v>
      </c>
      <c r="K47" s="6" t="s">
        <v>7</v>
      </c>
      <c r="L47" s="6" t="s">
        <v>8</v>
      </c>
    </row>
    <row r="48" spans="2:12" ht="12.75" customHeight="1" thickBot="1" x14ac:dyDescent="0.3">
      <c r="B48" s="44" t="s">
        <v>9</v>
      </c>
      <c r="C48" s="15">
        <v>-517.84</v>
      </c>
      <c r="D48" s="15">
        <v>76</v>
      </c>
      <c r="E48" s="15">
        <v>32</v>
      </c>
      <c r="F48" s="16">
        <f t="shared" ref="F48:F57" si="10">D48-E48</f>
        <v>44</v>
      </c>
      <c r="H48" s="44" t="s">
        <v>9</v>
      </c>
      <c r="I48" s="15">
        <v>-1350.15</v>
      </c>
      <c r="J48" s="15">
        <v>73</v>
      </c>
      <c r="K48" s="15">
        <v>31</v>
      </c>
      <c r="L48" s="16">
        <f t="shared" ref="L48:L57" si="11">J48-K48</f>
        <v>42</v>
      </c>
    </row>
    <row r="49" spans="2:12" ht="12.75" customHeight="1" thickBot="1" x14ac:dyDescent="0.3">
      <c r="B49" s="44" t="s">
        <v>19</v>
      </c>
      <c r="C49" s="15">
        <v>-2203.35</v>
      </c>
      <c r="D49" s="15">
        <v>74</v>
      </c>
      <c r="E49" s="15">
        <v>28</v>
      </c>
      <c r="F49" s="16">
        <f t="shared" si="10"/>
        <v>46</v>
      </c>
      <c r="H49" s="44" t="s">
        <v>19</v>
      </c>
      <c r="I49" s="15">
        <v>-965.8</v>
      </c>
      <c r="J49" s="15">
        <v>71</v>
      </c>
      <c r="K49" s="15">
        <v>30</v>
      </c>
      <c r="L49" s="16">
        <f t="shared" si="11"/>
        <v>41</v>
      </c>
    </row>
    <row r="50" spans="2:12" ht="12.75" customHeight="1" thickBot="1" x14ac:dyDescent="0.3">
      <c r="B50" s="44" t="s">
        <v>20</v>
      </c>
      <c r="C50" s="15">
        <v>-605.1</v>
      </c>
      <c r="D50" s="15">
        <v>79</v>
      </c>
      <c r="E50" s="15">
        <v>35</v>
      </c>
      <c r="F50" s="16">
        <f t="shared" si="10"/>
        <v>44</v>
      </c>
      <c r="H50" s="44" t="s">
        <v>20</v>
      </c>
      <c r="I50" s="15">
        <v>828.3</v>
      </c>
      <c r="J50" s="15">
        <v>77</v>
      </c>
      <c r="K50" s="15">
        <v>38</v>
      </c>
      <c r="L50" s="16">
        <f t="shared" si="11"/>
        <v>39</v>
      </c>
    </row>
    <row r="51" spans="2:12" ht="12.75" customHeight="1" thickBot="1" x14ac:dyDescent="0.3">
      <c r="B51" s="44" t="s">
        <v>21</v>
      </c>
      <c r="C51" s="15">
        <v>-203.48</v>
      </c>
      <c r="D51" s="15">
        <v>66</v>
      </c>
      <c r="E51" s="15">
        <v>28</v>
      </c>
      <c r="F51" s="16">
        <f t="shared" si="10"/>
        <v>38</v>
      </c>
      <c r="H51" s="44" t="s">
        <v>21</v>
      </c>
      <c r="I51" s="15">
        <v>-255.89</v>
      </c>
      <c r="J51" s="15">
        <v>72</v>
      </c>
      <c r="K51" s="15">
        <v>32</v>
      </c>
      <c r="L51" s="16">
        <f t="shared" si="11"/>
        <v>40</v>
      </c>
    </row>
    <row r="52" spans="2:12" ht="12.75" customHeight="1" thickBot="1" x14ac:dyDescent="0.3">
      <c r="B52" s="44" t="s">
        <v>22</v>
      </c>
      <c r="C52" s="15">
        <v>-358.5</v>
      </c>
      <c r="D52" s="15">
        <v>73</v>
      </c>
      <c r="E52" s="15">
        <v>31</v>
      </c>
      <c r="F52" s="16">
        <f t="shared" si="10"/>
        <v>42</v>
      </c>
      <c r="H52" s="44" t="s">
        <v>22</v>
      </c>
      <c r="I52" s="15">
        <v>988.6</v>
      </c>
      <c r="J52" s="15">
        <v>76</v>
      </c>
      <c r="K52" s="15">
        <v>37</v>
      </c>
      <c r="L52" s="16">
        <f t="shared" si="11"/>
        <v>39</v>
      </c>
    </row>
    <row r="53" spans="2:12" ht="12.75" customHeight="1" thickBot="1" x14ac:dyDescent="0.3">
      <c r="B53" s="44" t="s">
        <v>23</v>
      </c>
      <c r="C53" s="15">
        <v>-2624.4</v>
      </c>
      <c r="D53" s="15">
        <v>87</v>
      </c>
      <c r="E53" s="15">
        <v>31</v>
      </c>
      <c r="F53" s="16">
        <f t="shared" si="10"/>
        <v>56</v>
      </c>
      <c r="H53" s="44" t="s">
        <v>23</v>
      </c>
      <c r="I53" s="15">
        <v>-2268.3000000000002</v>
      </c>
      <c r="J53" s="15">
        <v>93</v>
      </c>
      <c r="K53" s="15">
        <v>35</v>
      </c>
      <c r="L53" s="16">
        <f t="shared" si="11"/>
        <v>58</v>
      </c>
    </row>
    <row r="54" spans="2:12" ht="12.75" customHeight="1" thickBot="1" x14ac:dyDescent="0.3">
      <c r="B54" s="44" t="s">
        <v>24</v>
      </c>
      <c r="C54" s="15">
        <v>-2861.6</v>
      </c>
      <c r="D54" s="15">
        <v>97</v>
      </c>
      <c r="E54" s="15">
        <v>32</v>
      </c>
      <c r="F54" s="16">
        <f t="shared" si="10"/>
        <v>65</v>
      </c>
      <c r="H54" s="44" t="s">
        <v>24</v>
      </c>
      <c r="I54" s="15">
        <v>293.45</v>
      </c>
      <c r="J54" s="15">
        <v>104</v>
      </c>
      <c r="K54" s="15">
        <v>43</v>
      </c>
      <c r="L54" s="16">
        <f t="shared" si="11"/>
        <v>61</v>
      </c>
    </row>
    <row r="55" spans="2:12" ht="12.75" customHeight="1" thickBot="1" x14ac:dyDescent="0.3">
      <c r="B55" s="44" t="s">
        <v>10</v>
      </c>
      <c r="C55" s="15">
        <v>-2594.15</v>
      </c>
      <c r="D55" s="15">
        <v>85</v>
      </c>
      <c r="E55" s="15">
        <v>30</v>
      </c>
      <c r="F55" s="16">
        <f t="shared" si="10"/>
        <v>55</v>
      </c>
      <c r="H55" s="44" t="s">
        <v>10</v>
      </c>
      <c r="I55" s="15">
        <v>74.8</v>
      </c>
      <c r="J55" s="15">
        <v>90</v>
      </c>
      <c r="K55" s="15">
        <v>33</v>
      </c>
      <c r="L55" s="16">
        <f t="shared" si="11"/>
        <v>57</v>
      </c>
    </row>
    <row r="56" spans="2:12" ht="12.75" customHeight="1" thickBot="1" x14ac:dyDescent="0.3">
      <c r="B56" s="44" t="s">
        <v>25</v>
      </c>
      <c r="C56" s="15">
        <v>-1629.3</v>
      </c>
      <c r="D56" s="15">
        <v>85</v>
      </c>
      <c r="E56" s="15">
        <v>32</v>
      </c>
      <c r="F56" s="16">
        <f t="shared" si="10"/>
        <v>53</v>
      </c>
      <c r="H56" s="44" t="s">
        <v>25</v>
      </c>
      <c r="I56" s="15">
        <v>-576</v>
      </c>
      <c r="J56" s="15">
        <v>87</v>
      </c>
      <c r="K56" s="15">
        <v>35</v>
      </c>
      <c r="L56" s="16">
        <f t="shared" si="11"/>
        <v>52</v>
      </c>
    </row>
    <row r="57" spans="2:12" ht="12.75" customHeight="1" thickBot="1" x14ac:dyDescent="0.3">
      <c r="B57" s="44" t="s">
        <v>26</v>
      </c>
      <c r="C57" s="17">
        <v>-2867.05</v>
      </c>
      <c r="D57" s="17">
        <v>96</v>
      </c>
      <c r="E57" s="17">
        <v>32</v>
      </c>
      <c r="F57" s="18">
        <f t="shared" si="10"/>
        <v>64</v>
      </c>
      <c r="H57" s="44" t="s">
        <v>26</v>
      </c>
      <c r="I57" s="17">
        <v>-2647.75</v>
      </c>
      <c r="J57" s="17">
        <v>101</v>
      </c>
      <c r="K57" s="17">
        <v>33</v>
      </c>
      <c r="L57" s="18">
        <f t="shared" si="11"/>
        <v>68</v>
      </c>
    </row>
    <row r="58" spans="2:12" s="25" customFormat="1" ht="12.75" customHeight="1" x14ac:dyDescent="0.3">
      <c r="D58" s="29">
        <f>SUM(D48:D57)</f>
        <v>818</v>
      </c>
      <c r="E58" s="29">
        <f>SUM(E48:E57)</f>
        <v>311</v>
      </c>
      <c r="F58" s="29">
        <f>SUM(F48:F57)</f>
        <v>507</v>
      </c>
      <c r="J58" s="29">
        <f t="shared" ref="J58:L58" si="12">SUM(J48:J57)</f>
        <v>844</v>
      </c>
      <c r="K58" s="29">
        <f t="shared" si="12"/>
        <v>347</v>
      </c>
      <c r="L58" s="29">
        <f t="shared" si="12"/>
        <v>497</v>
      </c>
    </row>
    <row r="59" spans="2:12" s="25" customFormat="1" ht="12.75" customHeight="1" x14ac:dyDescent="0.3">
      <c r="C59" s="30" t="s">
        <v>14</v>
      </c>
      <c r="D59" s="30">
        <f>D58+D44+D30+D16</f>
        <v>3063</v>
      </c>
      <c r="E59" s="30">
        <f t="shared" ref="E59:F59" si="13">E58+E44+E30+E16</f>
        <v>1314</v>
      </c>
      <c r="F59" s="30">
        <f t="shared" si="13"/>
        <v>1749</v>
      </c>
      <c r="I59" s="30" t="s">
        <v>15</v>
      </c>
      <c r="J59" s="30">
        <f t="shared" ref="J59:L59" si="14">J58+J44+J30+J16</f>
        <v>3209</v>
      </c>
      <c r="K59" s="30">
        <f t="shared" si="14"/>
        <v>1387</v>
      </c>
      <c r="L59" s="30">
        <f t="shared" si="14"/>
        <v>1807</v>
      </c>
    </row>
    <row r="60" spans="2:12" s="25" customFormat="1" ht="12.75" customHeight="1" x14ac:dyDescent="0.3"/>
    <row r="61" spans="2:12" s="25" customFormat="1" ht="12.75" customHeight="1" x14ac:dyDescent="0.3">
      <c r="C61" s="31" t="s">
        <v>16</v>
      </c>
      <c r="D61" s="31">
        <f>D59+J59</f>
        <v>6272</v>
      </c>
      <c r="E61" s="31">
        <f t="shared" ref="E61" si="15">E59+K59</f>
        <v>2701</v>
      </c>
      <c r="F61" s="31">
        <f>F59+L59</f>
        <v>3556</v>
      </c>
    </row>
    <row r="62" spans="2:12" s="25" customFormat="1" ht="12.75" customHeight="1" x14ac:dyDescent="0.3">
      <c r="C62" s="32" t="s">
        <v>17</v>
      </c>
      <c r="D62" s="33">
        <f>E61/D61</f>
        <v>0.43064413265306123</v>
      </c>
    </row>
    <row r="63" spans="2:12" s="25" customFormat="1" ht="12.75" customHeight="1" x14ac:dyDescent="0.3">
      <c r="C63" s="32" t="s">
        <v>18</v>
      </c>
      <c r="D63" s="33">
        <f>1-D62</f>
        <v>0.56935586734693877</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A35" workbookViewId="0">
      <selection activeCell="B35" sqref="B1:B1048576"/>
    </sheetView>
  </sheetViews>
  <sheetFormatPr defaultColWidth="12.6640625" defaultRowHeight="15" customHeight="1" x14ac:dyDescent="0.3"/>
  <cols>
    <col min="1" max="2" width="12.6640625" style="25"/>
    <col min="3" max="3" width="18.33203125" style="25" customWidth="1"/>
    <col min="4" max="4" width="31.5546875" style="25" customWidth="1"/>
    <col min="5" max="5" width="22.109375" style="25" customWidth="1"/>
    <col min="6" max="6" width="23.5546875" style="25" customWidth="1"/>
    <col min="7" max="8" width="12.6640625" style="25"/>
    <col min="9" max="9" width="17.77734375" style="25" customWidth="1"/>
    <col min="10" max="10" width="32.33203125" style="25" customWidth="1"/>
    <col min="11" max="11" width="20.88671875" style="25" customWidth="1"/>
    <col min="12" max="12" width="23.5546875" style="25" customWidth="1"/>
    <col min="13" max="16384" width="12.6640625" style="25"/>
  </cols>
  <sheetData>
    <row r="1" spans="1:12" ht="15.75" customHeight="1" x14ac:dyDescent="0.3">
      <c r="A1" s="21"/>
      <c r="B1" s="59" t="s">
        <v>0</v>
      </c>
      <c r="C1" s="60"/>
      <c r="D1" s="60"/>
      <c r="E1" s="60"/>
      <c r="F1" s="60"/>
      <c r="G1" s="60"/>
      <c r="H1" s="60"/>
      <c r="I1" s="60"/>
      <c r="J1" s="60"/>
      <c r="K1" s="60"/>
      <c r="L1" s="60"/>
    </row>
    <row r="2" spans="1:12" ht="15.75" customHeight="1" x14ac:dyDescent="0.3">
      <c r="A2" s="21"/>
      <c r="B2" s="21"/>
      <c r="C2" s="26"/>
      <c r="D2" s="26"/>
      <c r="E2" s="26"/>
      <c r="F2" s="26"/>
      <c r="H2" s="21"/>
    </row>
    <row r="3" spans="1:12" ht="15.75" customHeight="1" x14ac:dyDescent="0.3">
      <c r="A3" s="21"/>
      <c r="B3" s="61" t="s">
        <v>1</v>
      </c>
      <c r="C3" s="60"/>
      <c r="D3" s="60"/>
      <c r="E3" s="60"/>
      <c r="F3" s="60"/>
      <c r="H3" s="61" t="s">
        <v>2</v>
      </c>
      <c r="I3" s="60"/>
      <c r="J3" s="60"/>
      <c r="K3" s="60"/>
      <c r="L3" s="60"/>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-289.49</v>
      </c>
      <c r="D6" s="26">
        <v>79</v>
      </c>
      <c r="E6" s="26">
        <v>38</v>
      </c>
      <c r="F6" s="34">
        <f t="shared" ref="F6:F15" si="0">D6-E6</f>
        <v>41</v>
      </c>
      <c r="H6" s="44" t="s">
        <v>9</v>
      </c>
      <c r="I6" s="26">
        <v>526.29999999999995</v>
      </c>
      <c r="J6" s="26">
        <v>66</v>
      </c>
      <c r="K6" s="26">
        <v>32</v>
      </c>
      <c r="L6" s="34">
        <v>19</v>
      </c>
    </row>
    <row r="7" spans="1:12" ht="15.75" customHeight="1" thickBot="1" x14ac:dyDescent="0.35">
      <c r="A7" s="20"/>
      <c r="B7" s="44" t="s">
        <v>19</v>
      </c>
      <c r="C7" s="26">
        <v>2721.5</v>
      </c>
      <c r="D7" s="26">
        <v>76</v>
      </c>
      <c r="E7" s="26">
        <v>41</v>
      </c>
      <c r="F7" s="34">
        <f t="shared" si="0"/>
        <v>35</v>
      </c>
      <c r="H7" s="44" t="s">
        <v>19</v>
      </c>
      <c r="I7" s="26">
        <v>766.5</v>
      </c>
      <c r="J7" s="26">
        <v>70</v>
      </c>
      <c r="K7" s="26">
        <v>34</v>
      </c>
      <c r="L7" s="34">
        <f t="shared" ref="L7:L15" si="1">J7-K7</f>
        <v>36</v>
      </c>
    </row>
    <row r="8" spans="1:12" ht="15.75" customHeight="1" thickBot="1" x14ac:dyDescent="0.35">
      <c r="A8" s="7"/>
      <c r="B8" s="44" t="s">
        <v>20</v>
      </c>
      <c r="C8" s="26">
        <v>639.4</v>
      </c>
      <c r="D8" s="26">
        <v>82</v>
      </c>
      <c r="E8" s="26">
        <v>39</v>
      </c>
      <c r="F8" s="34">
        <f t="shared" si="0"/>
        <v>43</v>
      </c>
      <c r="H8" s="44" t="s">
        <v>20</v>
      </c>
      <c r="I8" s="26">
        <v>3259.3</v>
      </c>
      <c r="J8" s="26">
        <v>73</v>
      </c>
      <c r="K8" s="26">
        <v>42</v>
      </c>
      <c r="L8" s="34">
        <f t="shared" si="1"/>
        <v>31</v>
      </c>
    </row>
    <row r="9" spans="1:12" ht="15.75" customHeight="1" thickBot="1" x14ac:dyDescent="0.35">
      <c r="A9" s="20"/>
      <c r="B9" s="44" t="s">
        <v>21</v>
      </c>
      <c r="C9" s="26">
        <v>1140.93</v>
      </c>
      <c r="D9" s="26">
        <v>88</v>
      </c>
      <c r="E9" s="26">
        <v>40</v>
      </c>
      <c r="F9" s="34">
        <f t="shared" si="0"/>
        <v>48</v>
      </c>
      <c r="H9" s="44" t="s">
        <v>21</v>
      </c>
      <c r="I9" s="26">
        <v>608.61</v>
      </c>
      <c r="J9" s="26">
        <v>76</v>
      </c>
      <c r="K9" s="26">
        <v>35</v>
      </c>
      <c r="L9" s="34">
        <f t="shared" si="1"/>
        <v>41</v>
      </c>
    </row>
    <row r="10" spans="1:12" ht="15.75" customHeight="1" thickBot="1" x14ac:dyDescent="0.35">
      <c r="A10" s="7"/>
      <c r="B10" s="44" t="s">
        <v>22</v>
      </c>
      <c r="C10" s="26">
        <v>1569.75</v>
      </c>
      <c r="D10" s="26">
        <v>91</v>
      </c>
      <c r="E10" s="26">
        <v>46</v>
      </c>
      <c r="F10" s="34">
        <f t="shared" si="0"/>
        <v>45</v>
      </c>
      <c r="H10" s="44" t="s">
        <v>22</v>
      </c>
      <c r="I10" s="26">
        <v>1753.05</v>
      </c>
      <c r="J10" s="26">
        <v>82</v>
      </c>
      <c r="K10" s="26">
        <v>40</v>
      </c>
      <c r="L10" s="34">
        <f t="shared" si="1"/>
        <v>42</v>
      </c>
    </row>
    <row r="11" spans="1:12" ht="15.75" customHeight="1" thickBot="1" x14ac:dyDescent="0.35">
      <c r="A11" s="7"/>
      <c r="B11" s="44" t="s">
        <v>23</v>
      </c>
      <c r="C11" s="26">
        <v>-1184.3900000000001</v>
      </c>
      <c r="D11" s="26">
        <v>102</v>
      </c>
      <c r="E11" s="26">
        <v>43</v>
      </c>
      <c r="F11" s="34">
        <f t="shared" si="0"/>
        <v>59</v>
      </c>
      <c r="H11" s="44" t="s">
        <v>23</v>
      </c>
      <c r="I11" s="26">
        <v>-665.95</v>
      </c>
      <c r="J11" s="26">
        <v>89</v>
      </c>
      <c r="K11" s="26">
        <v>31</v>
      </c>
      <c r="L11" s="34">
        <f t="shared" si="1"/>
        <v>58</v>
      </c>
    </row>
    <row r="12" spans="1:12" ht="15.75" customHeight="1" thickBot="1" x14ac:dyDescent="0.35">
      <c r="A12" s="20"/>
      <c r="B12" s="44" t="s">
        <v>24</v>
      </c>
      <c r="C12" s="26">
        <v>3053.85</v>
      </c>
      <c r="D12" s="26">
        <v>106</v>
      </c>
      <c r="E12" s="26">
        <v>50</v>
      </c>
      <c r="F12" s="34">
        <f t="shared" si="0"/>
        <v>56</v>
      </c>
      <c r="H12" s="44" t="s">
        <v>24</v>
      </c>
      <c r="I12" s="26">
        <v>857.2</v>
      </c>
      <c r="J12" s="26">
        <v>96</v>
      </c>
      <c r="K12" s="26">
        <v>41</v>
      </c>
      <c r="L12" s="34">
        <f t="shared" si="1"/>
        <v>55</v>
      </c>
    </row>
    <row r="13" spans="1:12" ht="15.75" customHeight="1" thickBot="1" x14ac:dyDescent="0.35">
      <c r="A13" s="7"/>
      <c r="B13" s="44" t="s">
        <v>10</v>
      </c>
      <c r="C13" s="26">
        <v>4633.5</v>
      </c>
      <c r="D13" s="26">
        <v>105</v>
      </c>
      <c r="E13" s="26">
        <v>55</v>
      </c>
      <c r="F13" s="34">
        <f t="shared" si="0"/>
        <v>50</v>
      </c>
      <c r="H13" s="44" t="s">
        <v>10</v>
      </c>
      <c r="I13" s="26">
        <v>2423.1</v>
      </c>
      <c r="J13" s="26">
        <v>97</v>
      </c>
      <c r="K13" s="26">
        <v>47</v>
      </c>
      <c r="L13" s="34">
        <f t="shared" si="1"/>
        <v>50</v>
      </c>
    </row>
    <row r="14" spans="1:12" ht="15.75" customHeight="1" thickBot="1" x14ac:dyDescent="0.35">
      <c r="A14" s="20"/>
      <c r="B14" s="44" t="s">
        <v>25</v>
      </c>
      <c r="C14" s="26">
        <v>3472.6</v>
      </c>
      <c r="D14" s="26">
        <v>104</v>
      </c>
      <c r="E14" s="26">
        <v>52</v>
      </c>
      <c r="F14" s="34">
        <f t="shared" si="0"/>
        <v>52</v>
      </c>
      <c r="H14" s="44" t="s">
        <v>25</v>
      </c>
      <c r="I14" s="26">
        <v>2639.2</v>
      </c>
      <c r="J14" s="26">
        <v>96</v>
      </c>
      <c r="K14" s="26">
        <v>44</v>
      </c>
      <c r="L14" s="34">
        <f t="shared" si="1"/>
        <v>52</v>
      </c>
    </row>
    <row r="15" spans="1:12" ht="15.75" customHeight="1" thickBot="1" x14ac:dyDescent="0.35">
      <c r="A15" s="7"/>
      <c r="B15" s="44" t="s">
        <v>26</v>
      </c>
      <c r="C15" s="35">
        <v>3856.35</v>
      </c>
      <c r="D15" s="35">
        <v>103</v>
      </c>
      <c r="E15" s="35">
        <v>47</v>
      </c>
      <c r="F15" s="36">
        <f t="shared" si="0"/>
        <v>56</v>
      </c>
      <c r="H15" s="44" t="s">
        <v>26</v>
      </c>
      <c r="I15" s="35">
        <v>7376</v>
      </c>
      <c r="J15" s="35">
        <v>90</v>
      </c>
      <c r="K15" s="35">
        <v>46</v>
      </c>
      <c r="L15" s="36">
        <f t="shared" si="1"/>
        <v>44</v>
      </c>
    </row>
    <row r="16" spans="1:12" ht="12.75" customHeight="1" x14ac:dyDescent="0.3">
      <c r="D16" s="29">
        <f>SUM(D6:D15)</f>
        <v>936</v>
      </c>
      <c r="E16" s="29">
        <f t="shared" ref="E16:F16" si="2">SUM(E6:E15)</f>
        <v>451</v>
      </c>
      <c r="F16" s="29">
        <f t="shared" si="2"/>
        <v>485</v>
      </c>
      <c r="J16" s="29">
        <f t="shared" ref="J16:L16" si="3">SUM(J6:J15)</f>
        <v>835</v>
      </c>
      <c r="K16" s="29">
        <f t="shared" si="3"/>
        <v>392</v>
      </c>
      <c r="L16" s="29">
        <f t="shared" si="3"/>
        <v>428</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-2642.79</v>
      </c>
      <c r="D20" s="26">
        <v>76</v>
      </c>
      <c r="E20" s="26">
        <v>31</v>
      </c>
      <c r="F20" s="34">
        <f t="shared" ref="F20:F29" si="4">D20-E20</f>
        <v>45</v>
      </c>
      <c r="H20" s="44" t="s">
        <v>9</v>
      </c>
      <c r="I20" s="26">
        <v>-3204.39</v>
      </c>
      <c r="J20" s="26">
        <v>66</v>
      </c>
      <c r="K20" s="26">
        <v>20</v>
      </c>
      <c r="L20" s="34">
        <f t="shared" ref="L20:L29" si="5">J20-K20</f>
        <v>46</v>
      </c>
    </row>
    <row r="21" spans="2:12" ht="15.75" customHeight="1" thickBot="1" x14ac:dyDescent="0.35">
      <c r="B21" s="44" t="s">
        <v>19</v>
      </c>
      <c r="C21" s="26">
        <v>-797.9</v>
      </c>
      <c r="D21" s="26">
        <v>79</v>
      </c>
      <c r="E21" s="26">
        <v>34</v>
      </c>
      <c r="F21" s="34">
        <f t="shared" si="4"/>
        <v>45</v>
      </c>
      <c r="H21" s="44" t="s">
        <v>19</v>
      </c>
      <c r="I21" s="26">
        <v>-1960.35</v>
      </c>
      <c r="J21" s="26">
        <v>71</v>
      </c>
      <c r="K21" s="26">
        <v>25</v>
      </c>
      <c r="L21" s="34">
        <f t="shared" si="5"/>
        <v>46</v>
      </c>
    </row>
    <row r="22" spans="2:12" ht="15.75" customHeight="1" thickBot="1" x14ac:dyDescent="0.35">
      <c r="B22" s="44" t="s">
        <v>20</v>
      </c>
      <c r="C22" s="26">
        <v>-756.69</v>
      </c>
      <c r="D22" s="26">
        <v>83</v>
      </c>
      <c r="E22" s="26">
        <v>38</v>
      </c>
      <c r="F22" s="34">
        <f t="shared" si="4"/>
        <v>45</v>
      </c>
      <c r="H22" s="44" t="s">
        <v>20</v>
      </c>
      <c r="I22" s="26">
        <v>-2601.4</v>
      </c>
      <c r="J22" s="26">
        <v>76</v>
      </c>
      <c r="K22" s="26">
        <v>30</v>
      </c>
      <c r="L22" s="34">
        <f t="shared" si="5"/>
        <v>46</v>
      </c>
    </row>
    <row r="23" spans="2:12" ht="15.75" customHeight="1" thickBot="1" x14ac:dyDescent="0.35">
      <c r="B23" s="44" t="s">
        <v>21</v>
      </c>
      <c r="C23" s="26">
        <v>-1371.35</v>
      </c>
      <c r="D23" s="26">
        <v>82</v>
      </c>
      <c r="E23" s="26">
        <v>33</v>
      </c>
      <c r="F23" s="34">
        <f t="shared" si="4"/>
        <v>49</v>
      </c>
      <c r="H23" s="44" t="s">
        <v>21</v>
      </c>
      <c r="I23" s="26">
        <v>-1637.06</v>
      </c>
      <c r="J23" s="26">
        <v>72</v>
      </c>
      <c r="K23" s="26">
        <v>29</v>
      </c>
      <c r="L23" s="34">
        <f t="shared" si="5"/>
        <v>43</v>
      </c>
    </row>
    <row r="24" spans="2:12" ht="15.75" customHeight="1" thickBot="1" x14ac:dyDescent="0.35">
      <c r="B24" s="44" t="s">
        <v>22</v>
      </c>
      <c r="C24" s="26">
        <v>-301.69</v>
      </c>
      <c r="D24" s="26">
        <v>91</v>
      </c>
      <c r="E24" s="26">
        <v>42</v>
      </c>
      <c r="F24" s="34">
        <f t="shared" si="4"/>
        <v>49</v>
      </c>
      <c r="H24" s="44" t="s">
        <v>22</v>
      </c>
      <c r="I24" s="26">
        <v>-1466.25</v>
      </c>
      <c r="J24" s="26">
        <v>76</v>
      </c>
      <c r="K24" s="26">
        <v>33</v>
      </c>
      <c r="L24" s="34">
        <f t="shared" si="5"/>
        <v>43</v>
      </c>
    </row>
    <row r="25" spans="2:12" ht="15.75" customHeight="1" thickBot="1" x14ac:dyDescent="0.35">
      <c r="B25" s="44" t="s">
        <v>23</v>
      </c>
      <c r="C25" s="26">
        <v>-2761.19</v>
      </c>
      <c r="D25" s="26">
        <v>102</v>
      </c>
      <c r="E25" s="26">
        <v>39</v>
      </c>
      <c r="F25" s="34">
        <f t="shared" si="4"/>
        <v>63</v>
      </c>
      <c r="H25" s="44" t="s">
        <v>23</v>
      </c>
      <c r="I25" s="26">
        <v>-1640.7</v>
      </c>
      <c r="J25" s="26">
        <v>86</v>
      </c>
      <c r="K25" s="26">
        <v>34</v>
      </c>
      <c r="L25" s="34">
        <f t="shared" si="5"/>
        <v>52</v>
      </c>
    </row>
    <row r="26" spans="2:12" ht="15.75" customHeight="1" thickBot="1" x14ac:dyDescent="0.35">
      <c r="B26" s="44" t="s">
        <v>24</v>
      </c>
      <c r="C26" s="26">
        <v>-267.14</v>
      </c>
      <c r="D26" s="26">
        <v>95</v>
      </c>
      <c r="E26" s="26">
        <v>41</v>
      </c>
      <c r="F26" s="34">
        <f t="shared" si="4"/>
        <v>54</v>
      </c>
      <c r="H26" s="44" t="s">
        <v>24</v>
      </c>
      <c r="I26" s="26">
        <v>-2274.6999999999998</v>
      </c>
      <c r="J26" s="26">
        <v>79</v>
      </c>
      <c r="K26" s="26">
        <v>28</v>
      </c>
      <c r="L26" s="34">
        <f t="shared" si="5"/>
        <v>51</v>
      </c>
    </row>
    <row r="27" spans="2:12" ht="12.75" customHeight="1" thickBot="1" x14ac:dyDescent="0.35">
      <c r="B27" s="44" t="s">
        <v>10</v>
      </c>
      <c r="C27" s="26">
        <v>-1325.89</v>
      </c>
      <c r="D27" s="26">
        <v>106</v>
      </c>
      <c r="E27" s="26">
        <v>43</v>
      </c>
      <c r="F27" s="34">
        <f t="shared" si="4"/>
        <v>63</v>
      </c>
      <c r="H27" s="44" t="s">
        <v>10</v>
      </c>
      <c r="I27" s="26">
        <v>-1432.75</v>
      </c>
      <c r="J27" s="26">
        <v>88</v>
      </c>
      <c r="K27" s="26">
        <v>33</v>
      </c>
      <c r="L27" s="34">
        <f t="shared" si="5"/>
        <v>55</v>
      </c>
    </row>
    <row r="28" spans="2:12" ht="12.75" customHeight="1" thickBot="1" x14ac:dyDescent="0.35">
      <c r="B28" s="44" t="s">
        <v>25</v>
      </c>
      <c r="C28" s="26">
        <v>-531.79</v>
      </c>
      <c r="D28" s="26">
        <v>105</v>
      </c>
      <c r="E28" s="26">
        <v>45</v>
      </c>
      <c r="F28" s="34">
        <f t="shared" si="4"/>
        <v>60</v>
      </c>
      <c r="H28" s="44" t="s">
        <v>25</v>
      </c>
      <c r="I28" s="26">
        <v>-2449.85</v>
      </c>
      <c r="J28" s="26">
        <v>94</v>
      </c>
      <c r="K28" s="26">
        <v>34</v>
      </c>
      <c r="L28" s="34">
        <f t="shared" si="5"/>
        <v>60</v>
      </c>
    </row>
    <row r="29" spans="2:12" ht="12.75" customHeight="1" thickBot="1" x14ac:dyDescent="0.35">
      <c r="B29" s="44" t="s">
        <v>26</v>
      </c>
      <c r="C29" s="35">
        <v>-419.64</v>
      </c>
      <c r="D29" s="35">
        <v>106</v>
      </c>
      <c r="E29" s="35">
        <v>40</v>
      </c>
      <c r="F29" s="36">
        <f t="shared" si="4"/>
        <v>66</v>
      </c>
      <c r="H29" s="44" t="s">
        <v>26</v>
      </c>
      <c r="I29" s="26">
        <v>1833.75</v>
      </c>
      <c r="J29" s="35">
        <v>93</v>
      </c>
      <c r="K29" s="35">
        <v>41</v>
      </c>
      <c r="L29" s="36">
        <f t="shared" si="5"/>
        <v>52</v>
      </c>
    </row>
    <row r="30" spans="2:12" ht="12.75" customHeight="1" x14ac:dyDescent="0.3">
      <c r="D30" s="29">
        <f>SUM(D20:D29)</f>
        <v>925</v>
      </c>
      <c r="E30" s="29">
        <f>SUM(E20:E29)</f>
        <v>386</v>
      </c>
      <c r="F30" s="29">
        <f>SUM(F20:F29)</f>
        <v>539</v>
      </c>
      <c r="J30" s="29">
        <f t="shared" ref="J30:L30" si="6">SUM(J20:J29)</f>
        <v>801</v>
      </c>
      <c r="K30" s="29">
        <f t="shared" si="6"/>
        <v>307</v>
      </c>
      <c r="L30" s="29">
        <f t="shared" si="6"/>
        <v>494</v>
      </c>
    </row>
    <row r="31" spans="2:12" ht="12.75" customHeight="1" x14ac:dyDescent="0.3"/>
    <row r="32" spans="2:12" ht="12.75" customHeight="1" x14ac:dyDescent="0.3">
      <c r="B32" s="22" t="s">
        <v>12</v>
      </c>
      <c r="C32" s="41"/>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26">
        <v>-119.34</v>
      </c>
      <c r="D34" s="26">
        <v>75</v>
      </c>
      <c r="E34" s="26">
        <v>36</v>
      </c>
      <c r="F34" s="34">
        <f t="shared" ref="F34:F43" si="7">D34-E34</f>
        <v>39</v>
      </c>
      <c r="H34" s="44" t="s">
        <v>9</v>
      </c>
      <c r="I34" s="26">
        <v>1230.4000000000001</v>
      </c>
      <c r="J34" s="26">
        <v>62</v>
      </c>
      <c r="K34" s="26">
        <v>30</v>
      </c>
      <c r="L34" s="34">
        <f t="shared" ref="L34:L43" si="8">J34-K34</f>
        <v>32</v>
      </c>
    </row>
    <row r="35" spans="2:12" ht="12.75" customHeight="1" thickBot="1" x14ac:dyDescent="0.35">
      <c r="B35" s="44" t="s">
        <v>19</v>
      </c>
      <c r="C35" s="26">
        <v>1968.75</v>
      </c>
      <c r="D35" s="26">
        <v>75</v>
      </c>
      <c r="E35" s="26">
        <v>45</v>
      </c>
      <c r="F35" s="34">
        <f t="shared" si="7"/>
        <v>30</v>
      </c>
      <c r="H35" s="44" t="s">
        <v>19</v>
      </c>
      <c r="I35" s="26">
        <v>299.75</v>
      </c>
      <c r="J35" s="26">
        <v>72</v>
      </c>
      <c r="K35" s="26">
        <v>39</v>
      </c>
      <c r="L35" s="34">
        <f t="shared" si="8"/>
        <v>33</v>
      </c>
    </row>
    <row r="36" spans="2:12" ht="12.75" customHeight="1" thickBot="1" x14ac:dyDescent="0.35">
      <c r="B36" s="44" t="s">
        <v>20</v>
      </c>
      <c r="C36" s="26">
        <v>1742.2</v>
      </c>
      <c r="D36" s="26">
        <v>71</v>
      </c>
      <c r="E36" s="26">
        <v>40</v>
      </c>
      <c r="F36" s="34">
        <f t="shared" si="7"/>
        <v>31</v>
      </c>
      <c r="H36" s="44" t="s">
        <v>20</v>
      </c>
      <c r="I36" s="26">
        <v>853.05</v>
      </c>
      <c r="J36" s="26">
        <v>74</v>
      </c>
      <c r="K36" s="26">
        <v>37</v>
      </c>
      <c r="L36" s="34">
        <f t="shared" si="8"/>
        <v>37</v>
      </c>
    </row>
    <row r="37" spans="2:12" ht="12.75" customHeight="1" thickBot="1" x14ac:dyDescent="0.35">
      <c r="B37" s="44" t="s">
        <v>21</v>
      </c>
      <c r="C37" s="26">
        <v>568.82000000000005</v>
      </c>
      <c r="D37" s="26">
        <v>69</v>
      </c>
      <c r="E37" s="26">
        <v>35</v>
      </c>
      <c r="F37" s="34">
        <f t="shared" si="7"/>
        <v>34</v>
      </c>
      <c r="H37" s="44" t="s">
        <v>21</v>
      </c>
      <c r="I37" s="26">
        <v>182.17</v>
      </c>
      <c r="J37" s="26">
        <v>69</v>
      </c>
      <c r="K37" s="26">
        <v>31</v>
      </c>
      <c r="L37" s="34">
        <f t="shared" si="8"/>
        <v>38</v>
      </c>
    </row>
    <row r="38" spans="2:12" ht="12.75" customHeight="1" thickBot="1" x14ac:dyDescent="0.35">
      <c r="B38" s="44" t="s">
        <v>22</v>
      </c>
      <c r="C38" s="26">
        <v>311.45</v>
      </c>
      <c r="D38" s="26">
        <v>67</v>
      </c>
      <c r="E38" s="26">
        <v>35</v>
      </c>
      <c r="F38" s="34">
        <f t="shared" si="7"/>
        <v>32</v>
      </c>
      <c r="H38" s="44" t="s">
        <v>22</v>
      </c>
      <c r="I38" s="26">
        <v>-71.099999999999994</v>
      </c>
      <c r="J38" s="26">
        <v>70</v>
      </c>
      <c r="K38" s="26">
        <v>33</v>
      </c>
      <c r="L38" s="34">
        <f t="shared" si="8"/>
        <v>37</v>
      </c>
    </row>
    <row r="39" spans="2:12" ht="12.75" customHeight="1" thickBot="1" x14ac:dyDescent="0.35">
      <c r="B39" s="44" t="s">
        <v>23</v>
      </c>
      <c r="C39" s="26">
        <v>-660.2</v>
      </c>
      <c r="D39" s="26">
        <v>65</v>
      </c>
      <c r="E39" s="26">
        <v>28</v>
      </c>
      <c r="F39" s="34">
        <f t="shared" si="7"/>
        <v>37</v>
      </c>
      <c r="H39" s="44" t="s">
        <v>23</v>
      </c>
      <c r="I39" s="26">
        <v>-1138.2</v>
      </c>
      <c r="J39" s="26">
        <v>71</v>
      </c>
      <c r="K39" s="26">
        <v>29</v>
      </c>
      <c r="L39" s="34">
        <f t="shared" si="8"/>
        <v>42</v>
      </c>
    </row>
    <row r="40" spans="2:12" ht="12.75" customHeight="1" thickBot="1" x14ac:dyDescent="0.35">
      <c r="B40" s="44" t="s">
        <v>24</v>
      </c>
      <c r="C40" s="26">
        <v>-364.15</v>
      </c>
      <c r="D40" s="26">
        <v>73</v>
      </c>
      <c r="E40" s="26">
        <v>32</v>
      </c>
      <c r="F40" s="34">
        <f t="shared" si="7"/>
        <v>41</v>
      </c>
      <c r="H40" s="44" t="s">
        <v>24</v>
      </c>
      <c r="I40" s="26">
        <v>307.35000000000002</v>
      </c>
      <c r="J40" s="26">
        <v>79</v>
      </c>
      <c r="K40" s="26">
        <v>34</v>
      </c>
      <c r="L40" s="34">
        <f t="shared" si="8"/>
        <v>45</v>
      </c>
    </row>
    <row r="41" spans="2:12" ht="12.75" customHeight="1" thickBot="1" x14ac:dyDescent="0.35">
      <c r="B41" s="44" t="s">
        <v>10</v>
      </c>
      <c r="C41" s="26">
        <v>-839.4</v>
      </c>
      <c r="D41" s="26">
        <v>74</v>
      </c>
      <c r="E41" s="26">
        <v>30</v>
      </c>
      <c r="F41" s="34">
        <f t="shared" si="7"/>
        <v>44</v>
      </c>
      <c r="H41" s="44" t="s">
        <v>10</v>
      </c>
      <c r="I41" s="26">
        <v>-220.9</v>
      </c>
      <c r="J41" s="26">
        <v>80</v>
      </c>
      <c r="K41" s="26">
        <v>31</v>
      </c>
      <c r="L41" s="34">
        <f t="shared" si="8"/>
        <v>49</v>
      </c>
    </row>
    <row r="42" spans="2:12" ht="12.75" customHeight="1" thickBot="1" x14ac:dyDescent="0.35">
      <c r="B42" s="44" t="s">
        <v>25</v>
      </c>
      <c r="C42" s="26">
        <v>1167.3</v>
      </c>
      <c r="D42" s="26">
        <v>76</v>
      </c>
      <c r="E42" s="26">
        <v>37</v>
      </c>
      <c r="F42" s="34">
        <f t="shared" si="7"/>
        <v>39</v>
      </c>
      <c r="H42" s="44" t="s">
        <v>25</v>
      </c>
      <c r="I42" s="26">
        <v>2217.25</v>
      </c>
      <c r="J42" s="26">
        <v>76</v>
      </c>
      <c r="K42" s="26">
        <v>39</v>
      </c>
      <c r="L42" s="34">
        <f t="shared" si="8"/>
        <v>37</v>
      </c>
    </row>
    <row r="43" spans="2:12" ht="12.75" customHeight="1" thickBot="1" x14ac:dyDescent="0.35">
      <c r="B43" s="44" t="s">
        <v>26</v>
      </c>
      <c r="C43" s="35">
        <v>2156.5500000000002</v>
      </c>
      <c r="D43" s="35">
        <v>80</v>
      </c>
      <c r="E43" s="35">
        <v>35</v>
      </c>
      <c r="F43" s="36">
        <f t="shared" si="7"/>
        <v>45</v>
      </c>
      <c r="H43" s="44" t="s">
        <v>26</v>
      </c>
      <c r="I43" s="35">
        <v>5276.9</v>
      </c>
      <c r="J43" s="35">
        <v>76</v>
      </c>
      <c r="K43" s="35">
        <v>38</v>
      </c>
      <c r="L43" s="36">
        <f t="shared" si="8"/>
        <v>38</v>
      </c>
    </row>
    <row r="44" spans="2:12" ht="12.75" customHeight="1" x14ac:dyDescent="0.3">
      <c r="D44" s="29">
        <f>SUM(D34:D43)</f>
        <v>725</v>
      </c>
      <c r="E44" s="29">
        <f>SUM(E34:E43)</f>
        <v>353</v>
      </c>
      <c r="F44" s="29">
        <f>SUM(F34:F43)</f>
        <v>372</v>
      </c>
      <c r="J44" s="29">
        <f t="shared" ref="J44:L44" si="9">SUM(J34:J43)</f>
        <v>729</v>
      </c>
      <c r="K44" s="29">
        <f t="shared" si="9"/>
        <v>341</v>
      </c>
      <c r="L44" s="29">
        <f t="shared" si="9"/>
        <v>388</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37">
        <v>-517.84</v>
      </c>
      <c r="D48" s="37">
        <v>76</v>
      </c>
      <c r="E48" s="37">
        <v>32</v>
      </c>
      <c r="F48" s="38">
        <f t="shared" ref="F48:F57" si="10">D48-E48</f>
        <v>44</v>
      </c>
      <c r="H48" s="44" t="s">
        <v>9</v>
      </c>
      <c r="I48" s="37">
        <v>-1350.15</v>
      </c>
      <c r="J48" s="37">
        <v>73</v>
      </c>
      <c r="K48" s="37">
        <v>31</v>
      </c>
      <c r="L48" s="38">
        <f t="shared" ref="L48:L57" si="11">J48-K48</f>
        <v>42</v>
      </c>
    </row>
    <row r="49" spans="2:12" ht="12.75" customHeight="1" thickBot="1" x14ac:dyDescent="0.35">
      <c r="B49" s="44" t="s">
        <v>19</v>
      </c>
      <c r="C49" s="37">
        <v>-2203.35</v>
      </c>
      <c r="D49" s="37">
        <v>74</v>
      </c>
      <c r="E49" s="37">
        <v>28</v>
      </c>
      <c r="F49" s="38">
        <f t="shared" si="10"/>
        <v>46</v>
      </c>
      <c r="H49" s="44" t="s">
        <v>19</v>
      </c>
      <c r="I49" s="37">
        <v>-965.8</v>
      </c>
      <c r="J49" s="37">
        <v>71</v>
      </c>
      <c r="K49" s="37">
        <v>30</v>
      </c>
      <c r="L49" s="38">
        <f t="shared" si="11"/>
        <v>41</v>
      </c>
    </row>
    <row r="50" spans="2:12" ht="12.75" customHeight="1" thickBot="1" x14ac:dyDescent="0.35">
      <c r="B50" s="44" t="s">
        <v>20</v>
      </c>
      <c r="C50" s="37">
        <v>-605.1</v>
      </c>
      <c r="D50" s="37">
        <v>79</v>
      </c>
      <c r="E50" s="37">
        <v>35</v>
      </c>
      <c r="F50" s="38">
        <f t="shared" si="10"/>
        <v>44</v>
      </c>
      <c r="H50" s="44" t="s">
        <v>20</v>
      </c>
      <c r="I50" s="37">
        <v>828.3</v>
      </c>
      <c r="J50" s="37">
        <v>77</v>
      </c>
      <c r="K50" s="37">
        <v>38</v>
      </c>
      <c r="L50" s="38">
        <f t="shared" si="11"/>
        <v>39</v>
      </c>
    </row>
    <row r="51" spans="2:12" ht="12.75" customHeight="1" thickBot="1" x14ac:dyDescent="0.35">
      <c r="B51" s="44" t="s">
        <v>21</v>
      </c>
      <c r="C51" s="37">
        <v>-203.48</v>
      </c>
      <c r="D51" s="37">
        <v>66</v>
      </c>
      <c r="E51" s="37">
        <v>28</v>
      </c>
      <c r="F51" s="38">
        <f t="shared" si="10"/>
        <v>38</v>
      </c>
      <c r="H51" s="44" t="s">
        <v>21</v>
      </c>
      <c r="I51" s="37">
        <v>-255.89</v>
      </c>
      <c r="J51" s="37">
        <v>72</v>
      </c>
      <c r="K51" s="37">
        <v>32</v>
      </c>
      <c r="L51" s="38">
        <f t="shared" si="11"/>
        <v>40</v>
      </c>
    </row>
    <row r="52" spans="2:12" ht="12.75" customHeight="1" thickBot="1" x14ac:dyDescent="0.35">
      <c r="B52" s="44" t="s">
        <v>22</v>
      </c>
      <c r="C52" s="37">
        <v>-358.5</v>
      </c>
      <c r="D52" s="37">
        <v>73</v>
      </c>
      <c r="E52" s="37">
        <v>31</v>
      </c>
      <c r="F52" s="38">
        <f t="shared" si="10"/>
        <v>42</v>
      </c>
      <c r="H52" s="44" t="s">
        <v>22</v>
      </c>
      <c r="I52" s="37">
        <v>988.6</v>
      </c>
      <c r="J52" s="37">
        <v>76</v>
      </c>
      <c r="K52" s="37">
        <v>37</v>
      </c>
      <c r="L52" s="38">
        <f t="shared" si="11"/>
        <v>39</v>
      </c>
    </row>
    <row r="53" spans="2:12" ht="12.75" customHeight="1" thickBot="1" x14ac:dyDescent="0.35">
      <c r="B53" s="44" t="s">
        <v>23</v>
      </c>
      <c r="C53" s="37">
        <v>-2624.4</v>
      </c>
      <c r="D53" s="37">
        <v>87</v>
      </c>
      <c r="E53" s="37">
        <v>31</v>
      </c>
      <c r="F53" s="38">
        <f t="shared" si="10"/>
        <v>56</v>
      </c>
      <c r="H53" s="44" t="s">
        <v>23</v>
      </c>
      <c r="I53" s="37">
        <v>-2268.3000000000002</v>
      </c>
      <c r="J53" s="37">
        <v>93</v>
      </c>
      <c r="K53" s="37">
        <v>35</v>
      </c>
      <c r="L53" s="38">
        <f t="shared" si="11"/>
        <v>58</v>
      </c>
    </row>
    <row r="54" spans="2:12" ht="12.75" customHeight="1" thickBot="1" x14ac:dyDescent="0.35">
      <c r="B54" s="44" t="s">
        <v>24</v>
      </c>
      <c r="C54" s="37">
        <v>-2861.6</v>
      </c>
      <c r="D54" s="37">
        <v>97</v>
      </c>
      <c r="E54" s="37">
        <v>32</v>
      </c>
      <c r="F54" s="38">
        <f t="shared" si="10"/>
        <v>65</v>
      </c>
      <c r="H54" s="44" t="s">
        <v>24</v>
      </c>
      <c r="I54" s="37">
        <v>293.45</v>
      </c>
      <c r="J54" s="37">
        <v>104</v>
      </c>
      <c r="K54" s="37">
        <v>43</v>
      </c>
      <c r="L54" s="38">
        <f t="shared" si="11"/>
        <v>61</v>
      </c>
    </row>
    <row r="55" spans="2:12" ht="12.75" customHeight="1" thickBot="1" x14ac:dyDescent="0.35">
      <c r="B55" s="44" t="s">
        <v>10</v>
      </c>
      <c r="C55" s="37">
        <v>-2594.15</v>
      </c>
      <c r="D55" s="37">
        <v>85</v>
      </c>
      <c r="E55" s="37">
        <v>30</v>
      </c>
      <c r="F55" s="38">
        <f t="shared" si="10"/>
        <v>55</v>
      </c>
      <c r="H55" s="44" t="s">
        <v>10</v>
      </c>
      <c r="I55" s="37">
        <v>74.8</v>
      </c>
      <c r="J55" s="37">
        <v>90</v>
      </c>
      <c r="K55" s="37">
        <v>33</v>
      </c>
      <c r="L55" s="38">
        <f t="shared" si="11"/>
        <v>57</v>
      </c>
    </row>
    <row r="56" spans="2:12" ht="12.75" customHeight="1" thickBot="1" x14ac:dyDescent="0.35">
      <c r="B56" s="44" t="s">
        <v>25</v>
      </c>
      <c r="C56" s="37">
        <v>-1629.3</v>
      </c>
      <c r="D56" s="37">
        <v>85</v>
      </c>
      <c r="E56" s="37">
        <v>32</v>
      </c>
      <c r="F56" s="38">
        <f t="shared" si="10"/>
        <v>53</v>
      </c>
      <c r="H56" s="44" t="s">
        <v>25</v>
      </c>
      <c r="I56" s="37">
        <v>-576</v>
      </c>
      <c r="J56" s="37">
        <v>87</v>
      </c>
      <c r="K56" s="37">
        <v>35</v>
      </c>
      <c r="L56" s="38">
        <f t="shared" si="11"/>
        <v>52</v>
      </c>
    </row>
    <row r="57" spans="2:12" ht="12.75" customHeight="1" thickBot="1" x14ac:dyDescent="0.35">
      <c r="B57" s="44" t="s">
        <v>26</v>
      </c>
      <c r="C57" s="39">
        <v>-2867.05</v>
      </c>
      <c r="D57" s="39">
        <v>96</v>
      </c>
      <c r="E57" s="39">
        <v>32</v>
      </c>
      <c r="F57" s="40">
        <f t="shared" si="10"/>
        <v>64</v>
      </c>
      <c r="H57" s="44" t="s">
        <v>26</v>
      </c>
      <c r="I57" s="39">
        <v>-2647.75</v>
      </c>
      <c r="J57" s="39">
        <v>101</v>
      </c>
      <c r="K57" s="39">
        <v>33</v>
      </c>
      <c r="L57" s="40">
        <f t="shared" si="11"/>
        <v>68</v>
      </c>
    </row>
    <row r="58" spans="2:12" ht="12.75" customHeight="1" x14ac:dyDescent="0.3">
      <c r="D58" s="29">
        <f>SUM(D48:D57)</f>
        <v>818</v>
      </c>
      <c r="E58" s="29">
        <f>SUM(E48:E57)</f>
        <v>311</v>
      </c>
      <c r="F58" s="29">
        <f>SUM(F48:F57)</f>
        <v>507</v>
      </c>
      <c r="J58" s="29">
        <f t="shared" ref="J58:L58" si="12">SUM(J48:J57)</f>
        <v>844</v>
      </c>
      <c r="K58" s="29">
        <f t="shared" si="12"/>
        <v>347</v>
      </c>
      <c r="L58" s="29">
        <f t="shared" si="12"/>
        <v>497</v>
      </c>
    </row>
    <row r="59" spans="2:12" ht="12.75" customHeight="1" x14ac:dyDescent="0.3">
      <c r="C59" s="30" t="s">
        <v>14</v>
      </c>
      <c r="D59" s="30">
        <f>D58+D44+D30+D16</f>
        <v>3404</v>
      </c>
      <c r="E59" s="30">
        <f t="shared" ref="E59:F59" si="13">E58+E44+E30+E16</f>
        <v>1501</v>
      </c>
      <c r="F59" s="30">
        <f t="shared" si="13"/>
        <v>1903</v>
      </c>
      <c r="I59" s="30" t="s">
        <v>15</v>
      </c>
      <c r="J59" s="30">
        <f t="shared" ref="J59:L59" si="14">J58+J44+J30+J16</f>
        <v>3209</v>
      </c>
      <c r="K59" s="30">
        <f t="shared" si="14"/>
        <v>1387</v>
      </c>
      <c r="L59" s="30">
        <f t="shared" si="14"/>
        <v>1807</v>
      </c>
    </row>
    <row r="60" spans="2:12" ht="12.75" customHeight="1" x14ac:dyDescent="0.3"/>
    <row r="61" spans="2:12" ht="12.75" customHeight="1" x14ac:dyDescent="0.3">
      <c r="C61" s="31" t="s">
        <v>16</v>
      </c>
      <c r="D61" s="31">
        <f>D59+J59</f>
        <v>6613</v>
      </c>
      <c r="E61" s="31">
        <f t="shared" ref="E61" si="15">E59+K59</f>
        <v>2888</v>
      </c>
      <c r="F61" s="31">
        <f>F59+L59</f>
        <v>3710</v>
      </c>
    </row>
    <row r="62" spans="2:12" ht="12.75" customHeight="1" x14ac:dyDescent="0.3">
      <c r="C62" s="32" t="s">
        <v>17</v>
      </c>
      <c r="D62" s="33">
        <f>E61/D61</f>
        <v>0.43671556026009373</v>
      </c>
    </row>
    <row r="63" spans="2:12" ht="12.75" customHeight="1" x14ac:dyDescent="0.3">
      <c r="C63" s="32" t="s">
        <v>18</v>
      </c>
      <c r="D63" s="33">
        <f>1-D62</f>
        <v>0.56328443973990627</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topLeftCell="A37" workbookViewId="0">
      <selection activeCell="B37" sqref="B1:B1048576"/>
    </sheetView>
  </sheetViews>
  <sheetFormatPr defaultColWidth="12.6640625" defaultRowHeight="15" customHeight="1" x14ac:dyDescent="0.3"/>
  <cols>
    <col min="1" max="2" width="12.6640625" style="25"/>
    <col min="3" max="3" width="18" style="25" customWidth="1"/>
    <col min="4" max="4" width="32.44140625" style="25" customWidth="1"/>
    <col min="5" max="5" width="20.77734375" style="25" customWidth="1"/>
    <col min="6" max="6" width="22.6640625" style="25" customWidth="1"/>
    <col min="7" max="8" width="12.6640625" style="25"/>
    <col min="9" max="9" width="18.33203125" style="25" customWidth="1"/>
    <col min="10" max="10" width="32.77734375" style="25" bestFit="1" customWidth="1"/>
    <col min="11" max="11" width="20.44140625" style="25" customWidth="1"/>
    <col min="12" max="12" width="23.6640625" style="25" customWidth="1"/>
    <col min="13" max="16384" width="12.6640625" style="25"/>
  </cols>
  <sheetData>
    <row r="1" spans="1:12" ht="15.75" customHeight="1" x14ac:dyDescent="0.3">
      <c r="A1" s="21"/>
      <c r="B1" s="68" t="s">
        <v>0</v>
      </c>
      <c r="C1" s="69"/>
      <c r="D1" s="69"/>
      <c r="E1" s="69"/>
      <c r="F1" s="69"/>
      <c r="G1" s="69"/>
      <c r="H1" s="69"/>
      <c r="I1" s="69"/>
      <c r="J1" s="69"/>
      <c r="K1" s="69"/>
      <c r="L1" s="69"/>
    </row>
    <row r="2" spans="1:12" ht="15.75" customHeight="1" x14ac:dyDescent="0.3">
      <c r="A2" s="21"/>
      <c r="B2" s="21"/>
      <c r="C2" s="26"/>
      <c r="D2" s="26"/>
      <c r="E2" s="26"/>
      <c r="F2" s="26"/>
      <c r="H2" s="21"/>
    </row>
    <row r="3" spans="1:12" ht="15.75" customHeight="1" x14ac:dyDescent="0.3">
      <c r="A3" s="21"/>
      <c r="B3" s="61" t="s">
        <v>1</v>
      </c>
      <c r="C3" s="60"/>
      <c r="D3" s="60"/>
      <c r="E3" s="60"/>
      <c r="F3" s="60"/>
      <c r="H3" s="61" t="s">
        <v>2</v>
      </c>
      <c r="I3" s="60"/>
      <c r="J3" s="60"/>
      <c r="K3" s="60"/>
      <c r="L3" s="60"/>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-652.14</v>
      </c>
      <c r="D6" s="26">
        <v>69</v>
      </c>
      <c r="E6" s="26">
        <v>31</v>
      </c>
      <c r="F6" s="26">
        <v>38</v>
      </c>
      <c r="H6" s="44" t="s">
        <v>9</v>
      </c>
      <c r="I6" s="26">
        <v>2094.9499999999998</v>
      </c>
      <c r="J6" s="26">
        <v>70</v>
      </c>
      <c r="K6" s="26">
        <v>39</v>
      </c>
      <c r="L6" s="26">
        <v>31</v>
      </c>
    </row>
    <row r="7" spans="1:12" ht="15.75" customHeight="1" thickBot="1" x14ac:dyDescent="0.35">
      <c r="A7" s="20"/>
      <c r="B7" s="44" t="s">
        <v>19</v>
      </c>
      <c r="C7" s="26">
        <v>1718.89</v>
      </c>
      <c r="D7" s="26">
        <v>68</v>
      </c>
      <c r="E7" s="26">
        <v>36</v>
      </c>
      <c r="F7" s="26">
        <v>32</v>
      </c>
      <c r="H7" s="44" t="s">
        <v>19</v>
      </c>
      <c r="I7" s="26">
        <v>-162.69999999999999</v>
      </c>
      <c r="J7" s="26">
        <v>74</v>
      </c>
      <c r="K7" s="26">
        <v>41</v>
      </c>
      <c r="L7" s="26">
        <v>33</v>
      </c>
    </row>
    <row r="8" spans="1:12" ht="15.75" customHeight="1" thickBot="1" x14ac:dyDescent="0.35">
      <c r="A8" s="7"/>
      <c r="B8" s="44" t="s">
        <v>20</v>
      </c>
      <c r="C8" s="26">
        <v>1044.5999999999999</v>
      </c>
      <c r="D8" s="26">
        <v>75</v>
      </c>
      <c r="E8" s="26">
        <v>39</v>
      </c>
      <c r="F8" s="26">
        <v>36</v>
      </c>
      <c r="H8" s="44" t="s">
        <v>20</v>
      </c>
      <c r="I8" s="26">
        <v>2423.94</v>
      </c>
      <c r="J8" s="26">
        <v>73</v>
      </c>
      <c r="K8" s="26">
        <v>35</v>
      </c>
      <c r="L8" s="26">
        <v>38</v>
      </c>
    </row>
    <row r="9" spans="1:12" ht="15.75" customHeight="1" thickBot="1" x14ac:dyDescent="0.35">
      <c r="A9" s="20"/>
      <c r="B9" s="44" t="s">
        <v>21</v>
      </c>
      <c r="C9" s="26">
        <v>1733.77</v>
      </c>
      <c r="D9" s="26">
        <v>69</v>
      </c>
      <c r="E9" s="26">
        <v>34</v>
      </c>
      <c r="F9" s="26">
        <v>35</v>
      </c>
      <c r="H9" s="44" t="s">
        <v>21</v>
      </c>
      <c r="I9" s="26">
        <v>3202.08</v>
      </c>
      <c r="J9" s="26">
        <v>68</v>
      </c>
      <c r="K9" s="26">
        <v>40</v>
      </c>
      <c r="L9" s="26">
        <v>28</v>
      </c>
    </row>
    <row r="10" spans="1:12" ht="15.75" customHeight="1" thickBot="1" x14ac:dyDescent="0.35">
      <c r="A10" s="7"/>
      <c r="B10" s="44" t="s">
        <v>22</v>
      </c>
      <c r="C10" s="26">
        <v>1035.8499999999999</v>
      </c>
      <c r="D10" s="26">
        <v>74</v>
      </c>
      <c r="E10" s="26">
        <v>40</v>
      </c>
      <c r="F10" s="26">
        <v>34</v>
      </c>
      <c r="H10" s="44" t="s">
        <v>22</v>
      </c>
      <c r="I10" s="26">
        <v>1736.59</v>
      </c>
      <c r="J10" s="26">
        <v>78</v>
      </c>
      <c r="K10" s="26">
        <v>39</v>
      </c>
      <c r="L10" s="26">
        <v>39</v>
      </c>
    </row>
    <row r="11" spans="1:12" ht="15.75" customHeight="1" thickBot="1" x14ac:dyDescent="0.35">
      <c r="A11" s="7"/>
      <c r="B11" s="44" t="s">
        <v>23</v>
      </c>
      <c r="C11" s="26">
        <v>1802.3</v>
      </c>
      <c r="D11" s="26">
        <v>90</v>
      </c>
      <c r="E11" s="26">
        <v>46</v>
      </c>
      <c r="F11" s="26">
        <v>44</v>
      </c>
      <c r="H11" s="44" t="s">
        <v>23</v>
      </c>
      <c r="I11" s="26">
        <v>-764.4</v>
      </c>
      <c r="J11" s="26">
        <v>85</v>
      </c>
      <c r="K11" s="26">
        <v>35</v>
      </c>
      <c r="L11" s="26">
        <v>50</v>
      </c>
    </row>
    <row r="12" spans="1:12" ht="15.75" customHeight="1" thickBot="1" x14ac:dyDescent="0.35">
      <c r="A12" s="20"/>
      <c r="B12" s="44" t="s">
        <v>24</v>
      </c>
      <c r="C12" s="26">
        <v>-1171.8900000000001</v>
      </c>
      <c r="D12" s="26">
        <v>79</v>
      </c>
      <c r="E12" s="26">
        <v>38</v>
      </c>
      <c r="F12" s="26">
        <v>41</v>
      </c>
      <c r="H12" s="44" t="s">
        <v>24</v>
      </c>
      <c r="I12" s="26">
        <v>-136.80000000000001</v>
      </c>
      <c r="J12" s="26">
        <v>75</v>
      </c>
      <c r="K12" s="26">
        <v>39</v>
      </c>
      <c r="L12" s="26">
        <v>36</v>
      </c>
    </row>
    <row r="13" spans="1:12" ht="15.75" customHeight="1" thickBot="1" x14ac:dyDescent="0.35">
      <c r="A13" s="7"/>
      <c r="B13" s="44" t="s">
        <v>10</v>
      </c>
      <c r="C13" s="26">
        <v>2998.85</v>
      </c>
      <c r="D13" s="26">
        <v>90</v>
      </c>
      <c r="E13" s="26">
        <v>49</v>
      </c>
      <c r="F13" s="26">
        <v>41</v>
      </c>
      <c r="H13" s="44" t="s">
        <v>10</v>
      </c>
      <c r="I13" s="26">
        <v>129.04</v>
      </c>
      <c r="J13" s="26">
        <v>87</v>
      </c>
      <c r="K13" s="26">
        <v>44</v>
      </c>
      <c r="L13" s="26">
        <v>43</v>
      </c>
    </row>
    <row r="14" spans="1:12" ht="15.75" customHeight="1" thickBot="1" x14ac:dyDescent="0.35">
      <c r="A14" s="20"/>
      <c r="B14" s="44" t="s">
        <v>25</v>
      </c>
      <c r="C14" s="26">
        <v>979.85</v>
      </c>
      <c r="D14" s="26">
        <v>87</v>
      </c>
      <c r="E14" s="26">
        <v>45</v>
      </c>
      <c r="F14" s="26">
        <v>42</v>
      </c>
      <c r="H14" s="44" t="s">
        <v>25</v>
      </c>
      <c r="I14" s="26">
        <v>2396.2399999999998</v>
      </c>
      <c r="J14" s="26">
        <v>84</v>
      </c>
      <c r="K14" s="26">
        <v>50</v>
      </c>
      <c r="L14" s="26">
        <v>34</v>
      </c>
    </row>
    <row r="15" spans="1:12" ht="15.75" customHeight="1" thickBot="1" x14ac:dyDescent="0.35">
      <c r="A15" s="7"/>
      <c r="B15" s="44" t="s">
        <v>26</v>
      </c>
      <c r="C15" s="26">
        <v>4991.1000000000004</v>
      </c>
      <c r="D15" s="26">
        <v>99</v>
      </c>
      <c r="E15" s="26">
        <v>58</v>
      </c>
      <c r="F15" s="26">
        <v>41</v>
      </c>
      <c r="H15" s="44" t="s">
        <v>26</v>
      </c>
      <c r="I15" s="26">
        <v>2110.19</v>
      </c>
      <c r="J15" s="26">
        <v>90</v>
      </c>
      <c r="K15" s="26">
        <v>47</v>
      </c>
      <c r="L15" s="26">
        <v>43</v>
      </c>
    </row>
    <row r="16" spans="1:12" ht="12.75" customHeight="1" x14ac:dyDescent="0.3">
      <c r="D16" s="29">
        <f>SUM(D6:D15)</f>
        <v>800</v>
      </c>
      <c r="E16" s="29">
        <f t="shared" ref="E16:F16" si="0">SUM(E6:E15)</f>
        <v>416</v>
      </c>
      <c r="F16" s="29">
        <f t="shared" si="0"/>
        <v>384</v>
      </c>
      <c r="J16" s="29">
        <f t="shared" ref="J16" si="1">SUM(J6:J15)</f>
        <v>784</v>
      </c>
      <c r="K16" s="29">
        <f t="shared" ref="K16" si="2">SUM(K6:K15)</f>
        <v>409</v>
      </c>
      <c r="L16" s="29">
        <f t="shared" ref="L16" si="3">SUM(L6:L15)</f>
        <v>375</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-2381.79</v>
      </c>
      <c r="D20" s="26">
        <v>65</v>
      </c>
      <c r="E20" s="26">
        <v>25</v>
      </c>
      <c r="F20" s="26">
        <v>40</v>
      </c>
      <c r="H20" s="44" t="s">
        <v>9</v>
      </c>
      <c r="I20" s="26">
        <v>2746.69</v>
      </c>
      <c r="J20" s="26">
        <v>67</v>
      </c>
      <c r="K20" s="26">
        <v>42</v>
      </c>
      <c r="L20" s="26">
        <v>25</v>
      </c>
    </row>
    <row r="21" spans="2:12" ht="15.75" customHeight="1" thickBot="1" x14ac:dyDescent="0.35">
      <c r="B21" s="44" t="s">
        <v>19</v>
      </c>
      <c r="C21" s="26">
        <v>-928.2</v>
      </c>
      <c r="D21" s="26">
        <v>66</v>
      </c>
      <c r="E21" s="26">
        <v>32</v>
      </c>
      <c r="F21" s="26">
        <v>34</v>
      </c>
      <c r="H21" s="44" t="s">
        <v>19</v>
      </c>
      <c r="I21" s="26">
        <v>539.6</v>
      </c>
      <c r="J21" s="26">
        <v>66</v>
      </c>
      <c r="K21" s="26">
        <v>31</v>
      </c>
      <c r="L21" s="26">
        <v>35</v>
      </c>
    </row>
    <row r="22" spans="2:12" ht="15.75" customHeight="1" thickBot="1" x14ac:dyDescent="0.35">
      <c r="B22" s="44" t="s">
        <v>20</v>
      </c>
      <c r="C22" s="26">
        <v>-112.74</v>
      </c>
      <c r="D22" s="26">
        <v>66</v>
      </c>
      <c r="E22" s="26">
        <v>33</v>
      </c>
      <c r="F22" s="26">
        <v>33</v>
      </c>
      <c r="H22" s="44" t="s">
        <v>20</v>
      </c>
      <c r="I22" s="26">
        <v>1589.44</v>
      </c>
      <c r="J22" s="26">
        <v>66</v>
      </c>
      <c r="K22" s="26">
        <v>37</v>
      </c>
      <c r="L22" s="26">
        <v>29</v>
      </c>
    </row>
    <row r="23" spans="2:12" ht="15.75" customHeight="1" thickBot="1" x14ac:dyDescent="0.35">
      <c r="B23" s="44" t="s">
        <v>21</v>
      </c>
      <c r="C23" s="26">
        <v>-1863.67</v>
      </c>
      <c r="D23" s="26">
        <v>66</v>
      </c>
      <c r="E23" s="26">
        <v>24</v>
      </c>
      <c r="F23" s="26">
        <v>42</v>
      </c>
      <c r="H23" s="44" t="s">
        <v>21</v>
      </c>
      <c r="I23" s="26">
        <v>1391.44</v>
      </c>
      <c r="J23" s="26">
        <v>68</v>
      </c>
      <c r="K23" s="26">
        <v>38</v>
      </c>
      <c r="L23" s="26">
        <v>30</v>
      </c>
    </row>
    <row r="24" spans="2:12" ht="15.75" customHeight="1" thickBot="1" x14ac:dyDescent="0.35">
      <c r="B24" s="44" t="s">
        <v>22</v>
      </c>
      <c r="C24" s="26">
        <v>-937.15</v>
      </c>
      <c r="D24" s="26">
        <v>70</v>
      </c>
      <c r="E24" s="26">
        <v>38</v>
      </c>
      <c r="F24" s="26">
        <v>32</v>
      </c>
      <c r="H24" s="44" t="s">
        <v>22</v>
      </c>
      <c r="I24" s="26">
        <v>577.54</v>
      </c>
      <c r="J24" s="26">
        <v>66</v>
      </c>
      <c r="K24" s="26">
        <v>34</v>
      </c>
      <c r="L24" s="26">
        <v>32</v>
      </c>
    </row>
    <row r="25" spans="2:12" ht="15.75" customHeight="1" thickBot="1" x14ac:dyDescent="0.35">
      <c r="B25" s="44" t="s">
        <v>23</v>
      </c>
      <c r="C25" s="26">
        <v>-2583.09</v>
      </c>
      <c r="D25" s="26">
        <v>74</v>
      </c>
      <c r="E25" s="26">
        <v>33</v>
      </c>
      <c r="F25" s="26">
        <v>41</v>
      </c>
      <c r="H25" s="44" t="s">
        <v>23</v>
      </c>
      <c r="I25" s="26">
        <v>1358.19</v>
      </c>
      <c r="J25" s="26">
        <v>73</v>
      </c>
      <c r="K25" s="26">
        <v>43</v>
      </c>
      <c r="L25" s="26">
        <v>30</v>
      </c>
    </row>
    <row r="26" spans="2:12" ht="15.75" customHeight="1" thickBot="1" x14ac:dyDescent="0.35">
      <c r="B26" s="44" t="s">
        <v>24</v>
      </c>
      <c r="C26" s="26">
        <v>-3613.99</v>
      </c>
      <c r="D26" s="26">
        <v>71</v>
      </c>
      <c r="E26" s="26">
        <v>28</v>
      </c>
      <c r="F26" s="26">
        <v>43</v>
      </c>
      <c r="H26" s="44" t="s">
        <v>24</v>
      </c>
      <c r="I26" s="26">
        <v>2321.89</v>
      </c>
      <c r="J26" s="26">
        <v>76</v>
      </c>
      <c r="K26" s="26">
        <v>42</v>
      </c>
      <c r="L26" s="26">
        <v>34</v>
      </c>
    </row>
    <row r="27" spans="2:12" ht="12.75" customHeight="1" thickBot="1" x14ac:dyDescent="0.35">
      <c r="B27" s="44" t="s">
        <v>10</v>
      </c>
      <c r="C27" s="26">
        <v>-1712.04</v>
      </c>
      <c r="D27" s="26">
        <v>77</v>
      </c>
      <c r="E27" s="26">
        <v>34</v>
      </c>
      <c r="F27" s="26">
        <v>43</v>
      </c>
      <c r="H27" s="44" t="s">
        <v>10</v>
      </c>
      <c r="I27" s="26">
        <v>1949.64</v>
      </c>
      <c r="J27" s="26">
        <v>76</v>
      </c>
      <c r="K27" s="26">
        <v>44</v>
      </c>
      <c r="L27" s="26">
        <v>32</v>
      </c>
    </row>
    <row r="28" spans="2:12" ht="12.75" customHeight="1" thickBot="1" x14ac:dyDescent="0.35">
      <c r="B28" s="44" t="s">
        <v>25</v>
      </c>
      <c r="C28" s="26">
        <v>900.35</v>
      </c>
      <c r="D28" s="26">
        <v>79</v>
      </c>
      <c r="E28" s="26">
        <v>39</v>
      </c>
      <c r="F28" s="26">
        <v>40</v>
      </c>
      <c r="H28" s="44" t="s">
        <v>25</v>
      </c>
      <c r="I28" s="26">
        <v>2226.19</v>
      </c>
      <c r="J28" s="26">
        <v>75</v>
      </c>
      <c r="K28" s="26">
        <v>44</v>
      </c>
      <c r="L28" s="26">
        <v>31</v>
      </c>
    </row>
    <row r="29" spans="2:12" ht="12.75" customHeight="1" thickBot="1" x14ac:dyDescent="0.35">
      <c r="B29" s="44" t="s">
        <v>26</v>
      </c>
      <c r="C29" s="26">
        <v>-1594.69</v>
      </c>
      <c r="D29" s="26">
        <v>92</v>
      </c>
      <c r="E29" s="26">
        <v>42</v>
      </c>
      <c r="F29" s="26">
        <v>50</v>
      </c>
      <c r="H29" s="44" t="s">
        <v>26</v>
      </c>
      <c r="I29" s="26">
        <v>3625.39</v>
      </c>
      <c r="J29" s="26">
        <v>85</v>
      </c>
      <c r="K29" s="26">
        <v>49</v>
      </c>
      <c r="L29" s="26">
        <v>36</v>
      </c>
    </row>
    <row r="30" spans="2:12" ht="12.75" customHeight="1" x14ac:dyDescent="0.3">
      <c r="D30" s="29">
        <f>SUM(D20:D29)</f>
        <v>726</v>
      </c>
      <c r="E30" s="29">
        <f>SUM(E20:E29)</f>
        <v>328</v>
      </c>
      <c r="F30" s="29">
        <f>SUM(F20:F29)</f>
        <v>398</v>
      </c>
      <c r="J30" s="29">
        <f t="shared" ref="J30:L30" si="4">SUM(J20:J29)</f>
        <v>718</v>
      </c>
      <c r="K30" s="29">
        <f t="shared" si="4"/>
        <v>404</v>
      </c>
      <c r="L30" s="29">
        <f t="shared" si="4"/>
        <v>314</v>
      </c>
    </row>
    <row r="31" spans="2:12" ht="12.75" customHeight="1" x14ac:dyDescent="0.3"/>
    <row r="32" spans="2:12" ht="12.75" customHeight="1" x14ac:dyDescent="0.3">
      <c r="B32" s="22" t="s">
        <v>12</v>
      </c>
      <c r="C32" s="27"/>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26">
        <v>1636.19</v>
      </c>
      <c r="D34" s="26">
        <v>62</v>
      </c>
      <c r="E34" s="26">
        <v>33</v>
      </c>
      <c r="F34" s="26">
        <v>29</v>
      </c>
      <c r="H34" s="44" t="s">
        <v>9</v>
      </c>
      <c r="I34" s="26">
        <v>-1918.69</v>
      </c>
      <c r="J34" s="26">
        <v>62</v>
      </c>
      <c r="K34" s="26">
        <v>29</v>
      </c>
      <c r="L34" s="26">
        <v>33</v>
      </c>
    </row>
    <row r="35" spans="2:12" ht="12.75" customHeight="1" thickBot="1" x14ac:dyDescent="0.35">
      <c r="B35" s="44" t="s">
        <v>19</v>
      </c>
      <c r="C35" s="26">
        <v>476.79</v>
      </c>
      <c r="D35" s="26">
        <v>61</v>
      </c>
      <c r="E35" s="26">
        <v>35</v>
      </c>
      <c r="F35" s="26">
        <v>26</v>
      </c>
      <c r="H35" s="44" t="s">
        <v>19</v>
      </c>
      <c r="I35" s="26">
        <v>-1875.79</v>
      </c>
      <c r="J35" s="26">
        <v>62</v>
      </c>
      <c r="K35" s="26">
        <v>24</v>
      </c>
      <c r="L35" s="26">
        <v>38</v>
      </c>
    </row>
    <row r="36" spans="2:12" ht="12.75" customHeight="1" thickBot="1" x14ac:dyDescent="0.35">
      <c r="B36" s="44" t="s">
        <v>20</v>
      </c>
      <c r="C36" s="26">
        <v>878.05</v>
      </c>
      <c r="D36" s="26">
        <v>62</v>
      </c>
      <c r="E36" s="26">
        <v>33</v>
      </c>
      <c r="F36" s="26">
        <v>29</v>
      </c>
      <c r="H36" s="44" t="s">
        <v>20</v>
      </c>
      <c r="I36" s="26">
        <v>-1542</v>
      </c>
      <c r="J36" s="26">
        <v>65</v>
      </c>
      <c r="K36" s="26">
        <v>27</v>
      </c>
      <c r="L36" s="26">
        <v>38</v>
      </c>
    </row>
    <row r="37" spans="2:12" ht="12.75" customHeight="1" thickBot="1" x14ac:dyDescent="0.35">
      <c r="B37" s="44" t="s">
        <v>21</v>
      </c>
      <c r="C37" s="26">
        <v>692.93</v>
      </c>
      <c r="D37" s="26">
        <v>62</v>
      </c>
      <c r="E37" s="26">
        <v>32</v>
      </c>
      <c r="F37" s="26">
        <v>30</v>
      </c>
      <c r="H37" s="44" t="s">
        <v>21</v>
      </c>
      <c r="I37" s="26">
        <v>-1716.56</v>
      </c>
      <c r="J37" s="26">
        <v>64</v>
      </c>
      <c r="K37" s="26">
        <v>32</v>
      </c>
      <c r="L37" s="26">
        <v>32</v>
      </c>
    </row>
    <row r="38" spans="2:12" ht="12.75" customHeight="1" thickBot="1" x14ac:dyDescent="0.35">
      <c r="B38" s="44" t="s">
        <v>22</v>
      </c>
      <c r="C38" s="26">
        <v>1686.45</v>
      </c>
      <c r="D38" s="26">
        <v>65</v>
      </c>
      <c r="E38" s="26">
        <v>34</v>
      </c>
      <c r="F38" s="26">
        <v>31</v>
      </c>
      <c r="H38" s="44" t="s">
        <v>22</v>
      </c>
      <c r="I38" s="26">
        <v>-1700.6</v>
      </c>
      <c r="J38" s="26">
        <v>63</v>
      </c>
      <c r="K38" s="26">
        <v>29</v>
      </c>
      <c r="L38" s="26">
        <v>34</v>
      </c>
    </row>
    <row r="39" spans="2:12" ht="12.75" customHeight="1" thickBot="1" x14ac:dyDescent="0.35">
      <c r="B39" s="44" t="s">
        <v>23</v>
      </c>
      <c r="C39" s="26">
        <v>2369.9</v>
      </c>
      <c r="D39" s="26">
        <v>67</v>
      </c>
      <c r="E39" s="26">
        <v>39</v>
      </c>
      <c r="F39" s="26">
        <v>28</v>
      </c>
      <c r="H39" s="44" t="s">
        <v>23</v>
      </c>
      <c r="I39" s="26">
        <v>-2262.29</v>
      </c>
      <c r="J39" s="26">
        <v>68</v>
      </c>
      <c r="K39" s="26">
        <v>27</v>
      </c>
      <c r="L39" s="26">
        <v>41</v>
      </c>
    </row>
    <row r="40" spans="2:12" ht="12.75" customHeight="1" thickBot="1" x14ac:dyDescent="0.35">
      <c r="B40" s="44" t="s">
        <v>24</v>
      </c>
      <c r="C40" s="26">
        <v>-2011.09</v>
      </c>
      <c r="D40" s="26">
        <v>71</v>
      </c>
      <c r="E40" s="26">
        <v>29</v>
      </c>
      <c r="F40" s="26">
        <v>42</v>
      </c>
      <c r="H40" s="44" t="s">
        <v>24</v>
      </c>
      <c r="I40" s="26">
        <v>1839.19</v>
      </c>
      <c r="J40" s="26">
        <v>68</v>
      </c>
      <c r="K40" s="26">
        <v>34</v>
      </c>
      <c r="L40" s="26">
        <v>34</v>
      </c>
    </row>
    <row r="41" spans="2:12" ht="12.75" customHeight="1" thickBot="1" x14ac:dyDescent="0.35">
      <c r="B41" s="44" t="s">
        <v>10</v>
      </c>
      <c r="C41" s="26">
        <v>1692.2</v>
      </c>
      <c r="D41" s="26">
        <v>74</v>
      </c>
      <c r="E41" s="26">
        <v>35</v>
      </c>
      <c r="F41" s="26">
        <v>39</v>
      </c>
      <c r="H41" s="44" t="s">
        <v>10</v>
      </c>
      <c r="I41" s="26">
        <v>505.14</v>
      </c>
      <c r="J41" s="26">
        <v>73</v>
      </c>
      <c r="K41" s="26">
        <v>39</v>
      </c>
      <c r="L41" s="26">
        <v>34</v>
      </c>
    </row>
    <row r="42" spans="2:12" ht="12.75" customHeight="1" thickBot="1" x14ac:dyDescent="0.35">
      <c r="B42" s="44" t="s">
        <v>25</v>
      </c>
      <c r="C42" s="26">
        <v>1918.45</v>
      </c>
      <c r="D42" s="26">
        <v>68</v>
      </c>
      <c r="E42" s="26">
        <v>39</v>
      </c>
      <c r="F42" s="26">
        <v>29</v>
      </c>
      <c r="H42" s="44" t="s">
        <v>25</v>
      </c>
      <c r="I42" s="26">
        <v>-1319.8</v>
      </c>
      <c r="J42" s="26">
        <v>69</v>
      </c>
      <c r="K42" s="26">
        <v>34</v>
      </c>
      <c r="L42" s="26">
        <v>35</v>
      </c>
    </row>
    <row r="43" spans="2:12" ht="12.75" customHeight="1" thickBot="1" x14ac:dyDescent="0.35">
      <c r="B43" s="44" t="s">
        <v>26</v>
      </c>
      <c r="C43" s="26">
        <v>5507.5</v>
      </c>
      <c r="D43" s="26">
        <v>85</v>
      </c>
      <c r="E43" s="26">
        <v>49</v>
      </c>
      <c r="F43" s="26">
        <v>36</v>
      </c>
      <c r="H43" s="44" t="s">
        <v>26</v>
      </c>
      <c r="I43" s="26">
        <v>-5134.1149999999998</v>
      </c>
      <c r="J43" s="26">
        <v>79</v>
      </c>
      <c r="K43" s="26">
        <v>33</v>
      </c>
      <c r="L43" s="26">
        <v>46</v>
      </c>
    </row>
    <row r="44" spans="2:12" ht="12.75" customHeight="1" x14ac:dyDescent="0.3">
      <c r="D44" s="29">
        <f>SUM(D34:D43)</f>
        <v>677</v>
      </c>
      <c r="E44" s="29">
        <f t="shared" ref="E44:F44" si="5">SUM(E34:E43)</f>
        <v>358</v>
      </c>
      <c r="F44" s="29">
        <f t="shared" si="5"/>
        <v>319</v>
      </c>
      <c r="J44" s="29">
        <f t="shared" ref="J44" si="6">SUM(J34:J43)</f>
        <v>673</v>
      </c>
      <c r="K44" s="29">
        <f t="shared" ref="K44" si="7">SUM(K34:K43)</f>
        <v>308</v>
      </c>
      <c r="L44" s="29">
        <f t="shared" ref="L44" si="8">SUM(L34:L43)</f>
        <v>365</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26">
        <v>-2542.65</v>
      </c>
      <c r="D48" s="26">
        <v>67</v>
      </c>
      <c r="E48" s="26">
        <v>27</v>
      </c>
      <c r="F48" s="26">
        <v>40</v>
      </c>
      <c r="H48" s="44" t="s">
        <v>9</v>
      </c>
      <c r="I48" s="26">
        <v>2094.9499999999998</v>
      </c>
      <c r="J48" s="26">
        <v>70</v>
      </c>
      <c r="K48" s="26">
        <v>39</v>
      </c>
      <c r="L48" s="26">
        <v>31</v>
      </c>
    </row>
    <row r="49" spans="2:12" ht="12.75" customHeight="1" thickBot="1" x14ac:dyDescent="0.35">
      <c r="B49" s="44" t="s">
        <v>19</v>
      </c>
      <c r="C49" s="26">
        <v>-1081.29</v>
      </c>
      <c r="D49" s="26">
        <v>68</v>
      </c>
      <c r="E49" s="26">
        <v>32</v>
      </c>
      <c r="F49" s="26">
        <v>36</v>
      </c>
      <c r="H49" s="44" t="s">
        <v>19</v>
      </c>
      <c r="I49" s="26">
        <v>-162.69999999999999</v>
      </c>
      <c r="J49" s="26">
        <v>74</v>
      </c>
      <c r="K49" s="26">
        <v>41</v>
      </c>
      <c r="L49" s="26">
        <v>33</v>
      </c>
    </row>
    <row r="50" spans="2:12" ht="12.75" customHeight="1" thickBot="1" x14ac:dyDescent="0.35">
      <c r="B50" s="44" t="s">
        <v>20</v>
      </c>
      <c r="C50" s="26">
        <v>-551.09</v>
      </c>
      <c r="D50" s="26">
        <v>70</v>
      </c>
      <c r="E50" s="26">
        <v>38</v>
      </c>
      <c r="F50" s="26">
        <v>32</v>
      </c>
      <c r="H50" s="44" t="s">
        <v>20</v>
      </c>
      <c r="I50" s="26">
        <v>2423.94</v>
      </c>
      <c r="J50" s="26">
        <v>73</v>
      </c>
      <c r="K50" s="26">
        <v>35</v>
      </c>
      <c r="L50" s="26">
        <v>38</v>
      </c>
    </row>
    <row r="51" spans="2:12" ht="12.75" customHeight="1" thickBot="1" x14ac:dyDescent="0.35">
      <c r="B51" s="44" t="s">
        <v>21</v>
      </c>
      <c r="C51" s="26">
        <v>-1255.5</v>
      </c>
      <c r="D51" s="26">
        <v>71</v>
      </c>
      <c r="E51" s="26">
        <v>33</v>
      </c>
      <c r="F51" s="26">
        <v>38</v>
      </c>
      <c r="H51" s="44" t="s">
        <v>21</v>
      </c>
      <c r="I51" s="26">
        <v>3202.08</v>
      </c>
      <c r="J51" s="26">
        <v>68</v>
      </c>
      <c r="K51" s="26">
        <v>40</v>
      </c>
      <c r="L51" s="26">
        <v>28</v>
      </c>
    </row>
    <row r="52" spans="2:12" ht="12.75" customHeight="1" thickBot="1" x14ac:dyDescent="0.35">
      <c r="B52" s="44" t="s">
        <v>22</v>
      </c>
      <c r="C52" s="26">
        <v>-1729.89</v>
      </c>
      <c r="D52" s="26">
        <v>78</v>
      </c>
      <c r="E52" s="26">
        <v>36</v>
      </c>
      <c r="F52" s="26">
        <v>42</v>
      </c>
      <c r="H52" s="44" t="s">
        <v>22</v>
      </c>
      <c r="I52" s="26">
        <v>1736.59</v>
      </c>
      <c r="J52" s="26">
        <v>78</v>
      </c>
      <c r="K52" s="26">
        <v>39</v>
      </c>
      <c r="L52" s="26">
        <v>39</v>
      </c>
    </row>
    <row r="53" spans="2:12" ht="12.75" customHeight="1" thickBot="1" x14ac:dyDescent="0.35">
      <c r="B53" s="44" t="s">
        <v>23</v>
      </c>
      <c r="C53" s="26">
        <v>1949.1</v>
      </c>
      <c r="D53" s="26">
        <v>88</v>
      </c>
      <c r="E53" s="26">
        <v>47</v>
      </c>
      <c r="F53" s="26">
        <v>41</v>
      </c>
      <c r="H53" s="44" t="s">
        <v>23</v>
      </c>
      <c r="I53" s="26">
        <v>-764.4</v>
      </c>
      <c r="J53" s="26">
        <v>85</v>
      </c>
      <c r="K53" s="26">
        <v>35</v>
      </c>
      <c r="L53" s="26">
        <v>50</v>
      </c>
    </row>
    <row r="54" spans="2:12" ht="12.75" customHeight="1" thickBot="1" x14ac:dyDescent="0.35">
      <c r="B54" s="44" t="s">
        <v>24</v>
      </c>
      <c r="C54" s="26">
        <v>-1011.59</v>
      </c>
      <c r="D54" s="26">
        <v>78</v>
      </c>
      <c r="E54" s="26">
        <v>36</v>
      </c>
      <c r="F54" s="26">
        <v>42</v>
      </c>
      <c r="H54" s="44" t="s">
        <v>24</v>
      </c>
      <c r="I54" s="26">
        <v>-136.80000000000001</v>
      </c>
      <c r="J54" s="26">
        <v>75</v>
      </c>
      <c r="K54" s="26">
        <v>39</v>
      </c>
      <c r="L54" s="26">
        <v>36</v>
      </c>
    </row>
    <row r="55" spans="2:12" ht="12.75" customHeight="1" thickBot="1" x14ac:dyDescent="0.35">
      <c r="B55" s="44" t="s">
        <v>10</v>
      </c>
      <c r="C55" s="26">
        <v>-2316.69</v>
      </c>
      <c r="D55" s="26">
        <v>86</v>
      </c>
      <c r="E55" s="26">
        <v>42</v>
      </c>
      <c r="F55" s="26">
        <v>44</v>
      </c>
      <c r="H55" s="44" t="s">
        <v>10</v>
      </c>
      <c r="I55" s="26">
        <v>129.04</v>
      </c>
      <c r="J55" s="26">
        <v>87</v>
      </c>
      <c r="K55" s="26">
        <v>44</v>
      </c>
      <c r="L55" s="26">
        <v>43</v>
      </c>
    </row>
    <row r="56" spans="2:12" ht="12.75" customHeight="1" thickBot="1" x14ac:dyDescent="0.35">
      <c r="B56" s="44" t="s">
        <v>25</v>
      </c>
      <c r="C56" s="26">
        <v>-1626.99</v>
      </c>
      <c r="D56" s="26">
        <v>86</v>
      </c>
      <c r="E56" s="26">
        <v>38</v>
      </c>
      <c r="F56" s="26">
        <v>48</v>
      </c>
      <c r="H56" s="44" t="s">
        <v>25</v>
      </c>
      <c r="I56" s="26">
        <v>2396.2399999999998</v>
      </c>
      <c r="J56" s="26">
        <v>84</v>
      </c>
      <c r="K56" s="26">
        <v>50</v>
      </c>
      <c r="L56" s="26">
        <v>34</v>
      </c>
    </row>
    <row r="57" spans="2:12" ht="12.75" customHeight="1" thickBot="1" x14ac:dyDescent="0.35">
      <c r="B57" s="44" t="s">
        <v>26</v>
      </c>
      <c r="C57" s="26">
        <v>-3329.79</v>
      </c>
      <c r="D57" s="26">
        <v>94</v>
      </c>
      <c r="E57" s="26">
        <v>46</v>
      </c>
      <c r="F57" s="26">
        <v>48</v>
      </c>
      <c r="H57" s="44" t="s">
        <v>26</v>
      </c>
      <c r="I57" s="26">
        <v>2110.19</v>
      </c>
      <c r="J57" s="26">
        <v>90</v>
      </c>
      <c r="K57" s="26">
        <v>47</v>
      </c>
      <c r="L57" s="26">
        <v>43</v>
      </c>
    </row>
    <row r="58" spans="2:12" ht="12.75" customHeight="1" x14ac:dyDescent="0.3">
      <c r="D58" s="29">
        <f>SUM(D48:D57)</f>
        <v>786</v>
      </c>
      <c r="E58" s="29">
        <f t="shared" ref="E58:F58" si="9">SUM(E48:E57)</f>
        <v>375</v>
      </c>
      <c r="F58" s="29">
        <f t="shared" si="9"/>
        <v>411</v>
      </c>
      <c r="J58" s="29">
        <f t="shared" ref="J58" si="10">SUM(J48:J57)</f>
        <v>784</v>
      </c>
      <c r="K58" s="29">
        <f t="shared" ref="K58" si="11">SUM(K48:K57)</f>
        <v>409</v>
      </c>
      <c r="L58" s="29">
        <f t="shared" ref="L58" si="12">SUM(L48:L57)</f>
        <v>375</v>
      </c>
    </row>
    <row r="59" spans="2:12" ht="12.75" customHeight="1" x14ac:dyDescent="0.3">
      <c r="C59" s="30" t="s">
        <v>14</v>
      </c>
      <c r="D59" s="30">
        <f>D58+D44+D30+D16</f>
        <v>2989</v>
      </c>
      <c r="E59" s="30">
        <f t="shared" ref="E59:F59" si="13">E58+E44+E30+E16</f>
        <v>1477</v>
      </c>
      <c r="F59" s="30">
        <f t="shared" si="13"/>
        <v>1512</v>
      </c>
      <c r="I59" s="30" t="s">
        <v>15</v>
      </c>
      <c r="J59" s="30">
        <f t="shared" ref="J59" si="14">J58+J44+J30+J16</f>
        <v>2959</v>
      </c>
      <c r="K59" s="30">
        <f t="shared" ref="K59" si="15">K58+K44+K30+K16</f>
        <v>1530</v>
      </c>
      <c r="L59" s="30">
        <f t="shared" ref="L59" si="16">L58+L44+L30+L16</f>
        <v>1429</v>
      </c>
    </row>
    <row r="60" spans="2:12" ht="12.75" customHeight="1" x14ac:dyDescent="0.3"/>
    <row r="61" spans="2:12" ht="12.75" customHeight="1" x14ac:dyDescent="0.3">
      <c r="C61" s="31" t="s">
        <v>16</v>
      </c>
      <c r="D61" s="31">
        <f>D59+J59</f>
        <v>5948</v>
      </c>
      <c r="E61" s="31">
        <f t="shared" ref="E61" si="17">E59+K59</f>
        <v>3007</v>
      </c>
      <c r="F61" s="31">
        <f>F59+L59</f>
        <v>2941</v>
      </c>
    </row>
    <row r="62" spans="2:12" ht="12.75" customHeight="1" x14ac:dyDescent="0.3">
      <c r="C62" s="32" t="s">
        <v>17</v>
      </c>
      <c r="D62" s="33">
        <f>E61/D61</f>
        <v>0.50554808338937463</v>
      </c>
    </row>
    <row r="63" spans="2:12" ht="12.75" customHeight="1" x14ac:dyDescent="0.3">
      <c r="C63" s="32" t="s">
        <v>18</v>
      </c>
      <c r="D63" s="33">
        <f>1-D62</f>
        <v>0.49445191661062537</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284-8E13-4CC7-912F-9AC5C493DE3D}">
  <dimension ref="A1:L1000"/>
  <sheetViews>
    <sheetView topLeftCell="A34" workbookViewId="0">
      <selection activeCell="B34" sqref="B1:B1048576"/>
    </sheetView>
  </sheetViews>
  <sheetFormatPr defaultColWidth="12.6640625" defaultRowHeight="15.6" x14ac:dyDescent="0.3"/>
  <cols>
    <col min="1" max="1" width="3.77734375" style="25" customWidth="1"/>
    <col min="2" max="2" width="12.6640625" style="25"/>
    <col min="3" max="3" width="18.6640625" style="25" customWidth="1"/>
    <col min="4" max="4" width="32.6640625" style="25" customWidth="1"/>
    <col min="5" max="5" width="20.33203125" style="25" customWidth="1"/>
    <col min="6" max="6" width="22.6640625" style="25" customWidth="1"/>
    <col min="7" max="8" width="12.6640625" style="25"/>
    <col min="9" max="9" width="18.109375" style="25" customWidth="1"/>
    <col min="10" max="10" width="32.109375" style="25" customWidth="1"/>
    <col min="11" max="11" width="20.77734375" style="25" customWidth="1"/>
    <col min="12" max="12" width="23.44140625" style="25" customWidth="1"/>
    <col min="13" max="16384" width="12.6640625" style="25"/>
  </cols>
  <sheetData>
    <row r="1" spans="1:12" ht="15.75" customHeight="1" x14ac:dyDescent="0.3">
      <c r="A1" s="21"/>
      <c r="B1" s="62" t="s">
        <v>0</v>
      </c>
      <c r="C1" s="63"/>
      <c r="D1" s="63"/>
      <c r="E1" s="63"/>
      <c r="F1" s="63"/>
      <c r="G1" s="63"/>
      <c r="H1" s="63"/>
      <c r="I1" s="63"/>
      <c r="J1" s="63"/>
      <c r="K1" s="63"/>
      <c r="L1" s="63"/>
    </row>
    <row r="2" spans="1:12" ht="15.75" customHeight="1" x14ac:dyDescent="0.3">
      <c r="A2" s="21"/>
      <c r="B2" s="21"/>
      <c r="C2" s="26"/>
      <c r="D2" s="26"/>
      <c r="E2" s="26"/>
      <c r="F2" s="26"/>
      <c r="H2" s="21"/>
    </row>
    <row r="3" spans="1:12" ht="15.75" customHeight="1" x14ac:dyDescent="0.3">
      <c r="A3" s="21"/>
      <c r="B3" s="64" t="s">
        <v>1</v>
      </c>
      <c r="C3" s="63"/>
      <c r="D3" s="63"/>
      <c r="E3" s="63"/>
      <c r="F3" s="63"/>
      <c r="H3" s="64" t="s">
        <v>2</v>
      </c>
      <c r="I3" s="63"/>
      <c r="J3" s="63"/>
      <c r="K3" s="63"/>
      <c r="L3" s="63"/>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-187.39</v>
      </c>
      <c r="D6" s="26">
        <v>24</v>
      </c>
      <c r="E6" s="26">
        <v>11</v>
      </c>
      <c r="F6" s="34">
        <f t="shared" ref="F6:F15" si="0">D6-E6</f>
        <v>13</v>
      </c>
      <c r="H6" s="44" t="s">
        <v>9</v>
      </c>
      <c r="I6" s="26">
        <v>819.59</v>
      </c>
      <c r="J6" s="26">
        <v>25</v>
      </c>
      <c r="K6" s="26">
        <v>12</v>
      </c>
      <c r="L6" s="34">
        <v>19</v>
      </c>
    </row>
    <row r="7" spans="1:12" ht="15.75" customHeight="1" thickBot="1" x14ac:dyDescent="0.35">
      <c r="A7" s="20"/>
      <c r="B7" s="44" t="s">
        <v>19</v>
      </c>
      <c r="C7" s="26">
        <v>-370.44</v>
      </c>
      <c r="D7" s="26">
        <v>31</v>
      </c>
      <c r="E7" s="26">
        <v>11</v>
      </c>
      <c r="F7" s="34">
        <f t="shared" si="0"/>
        <v>20</v>
      </c>
      <c r="H7" s="44" t="s">
        <v>19</v>
      </c>
      <c r="I7" s="26">
        <v>-432.3</v>
      </c>
      <c r="J7" s="26">
        <v>38</v>
      </c>
      <c r="K7" s="26">
        <v>17</v>
      </c>
      <c r="L7" s="34">
        <f t="shared" ref="L7:L15" si="1">J7-K7</f>
        <v>21</v>
      </c>
    </row>
    <row r="8" spans="1:12" ht="15.75" customHeight="1" thickBot="1" x14ac:dyDescent="0.35">
      <c r="A8" s="7"/>
      <c r="B8" s="44" t="s">
        <v>20</v>
      </c>
      <c r="C8" s="26">
        <v>-852.84</v>
      </c>
      <c r="D8" s="26">
        <v>33</v>
      </c>
      <c r="E8" s="26">
        <v>10</v>
      </c>
      <c r="F8" s="34">
        <f t="shared" si="0"/>
        <v>23</v>
      </c>
      <c r="H8" s="44" t="s">
        <v>20</v>
      </c>
      <c r="I8" s="26">
        <v>202.34</v>
      </c>
      <c r="J8" s="26">
        <v>20</v>
      </c>
      <c r="K8" s="26">
        <v>16</v>
      </c>
      <c r="L8" s="34">
        <f t="shared" si="1"/>
        <v>4</v>
      </c>
    </row>
    <row r="9" spans="1:12" ht="15.75" customHeight="1" thickBot="1" x14ac:dyDescent="0.35">
      <c r="A9" s="20"/>
      <c r="B9" s="44" t="s">
        <v>21</v>
      </c>
      <c r="C9" s="26">
        <v>-1812.05</v>
      </c>
      <c r="D9" s="26">
        <v>33</v>
      </c>
      <c r="E9" s="26">
        <v>10</v>
      </c>
      <c r="F9" s="34">
        <f t="shared" si="0"/>
        <v>23</v>
      </c>
      <c r="H9" s="44" t="s">
        <v>21</v>
      </c>
      <c r="I9" s="26">
        <v>487.01</v>
      </c>
      <c r="J9" s="26">
        <v>36</v>
      </c>
      <c r="K9" s="26">
        <v>22</v>
      </c>
      <c r="L9" s="34">
        <f t="shared" si="1"/>
        <v>14</v>
      </c>
    </row>
    <row r="10" spans="1:12" ht="15.75" customHeight="1" thickBot="1" x14ac:dyDescent="0.35">
      <c r="A10" s="7"/>
      <c r="B10" s="44" t="s">
        <v>22</v>
      </c>
      <c r="C10" s="26">
        <v>-956.89</v>
      </c>
      <c r="D10" s="26">
        <v>36</v>
      </c>
      <c r="E10" s="26">
        <v>14</v>
      </c>
      <c r="F10" s="34">
        <f t="shared" si="0"/>
        <v>22</v>
      </c>
      <c r="H10" s="44" t="s">
        <v>22</v>
      </c>
      <c r="I10" s="26">
        <v>-1689.25</v>
      </c>
      <c r="J10" s="26">
        <v>42</v>
      </c>
      <c r="K10" s="26">
        <v>18</v>
      </c>
      <c r="L10" s="34">
        <f t="shared" si="1"/>
        <v>24</v>
      </c>
    </row>
    <row r="11" spans="1:12" ht="15.75" customHeight="1" thickBot="1" x14ac:dyDescent="0.35">
      <c r="A11" s="7"/>
      <c r="B11" s="44" t="s">
        <v>23</v>
      </c>
      <c r="C11" s="26">
        <v>1707.35</v>
      </c>
      <c r="D11" s="26">
        <v>28</v>
      </c>
      <c r="E11" s="26">
        <v>14</v>
      </c>
      <c r="F11" s="34">
        <f t="shared" si="0"/>
        <v>14</v>
      </c>
      <c r="H11" s="44" t="s">
        <v>23</v>
      </c>
      <c r="I11" s="26">
        <v>1226.24</v>
      </c>
      <c r="J11" s="26">
        <v>28</v>
      </c>
      <c r="K11" s="26">
        <v>14</v>
      </c>
      <c r="L11" s="34">
        <f t="shared" si="1"/>
        <v>14</v>
      </c>
    </row>
    <row r="12" spans="1:12" ht="15.75" customHeight="1" thickBot="1" x14ac:dyDescent="0.35">
      <c r="A12" s="20"/>
      <c r="B12" s="44" t="s">
        <v>24</v>
      </c>
      <c r="C12" s="26">
        <v>656.55</v>
      </c>
      <c r="D12" s="26">
        <v>31</v>
      </c>
      <c r="E12" s="26">
        <v>13</v>
      </c>
      <c r="F12" s="34">
        <f t="shared" si="0"/>
        <v>18</v>
      </c>
      <c r="H12" s="44" t="s">
        <v>24</v>
      </c>
      <c r="I12" s="26">
        <v>-1233.95</v>
      </c>
      <c r="J12" s="26">
        <v>35</v>
      </c>
      <c r="K12" s="26">
        <v>13</v>
      </c>
      <c r="L12" s="34">
        <f t="shared" si="1"/>
        <v>22</v>
      </c>
    </row>
    <row r="13" spans="1:12" ht="15.75" customHeight="1" thickBot="1" x14ac:dyDescent="0.35">
      <c r="A13" s="7"/>
      <c r="B13" s="44" t="s">
        <v>10</v>
      </c>
      <c r="C13" s="26">
        <v>-1483.09</v>
      </c>
      <c r="D13" s="26">
        <v>40</v>
      </c>
      <c r="E13" s="26">
        <v>13</v>
      </c>
      <c r="F13" s="34">
        <f t="shared" si="0"/>
        <v>27</v>
      </c>
      <c r="H13" s="44" t="s">
        <v>10</v>
      </c>
      <c r="I13" s="26">
        <v>204.39</v>
      </c>
      <c r="J13" s="26">
        <v>41</v>
      </c>
      <c r="K13" s="26">
        <v>19</v>
      </c>
      <c r="L13" s="34">
        <f t="shared" si="1"/>
        <v>22</v>
      </c>
    </row>
    <row r="14" spans="1:12" ht="15.75" customHeight="1" thickBot="1" x14ac:dyDescent="0.35">
      <c r="A14" s="20"/>
      <c r="B14" s="44" t="s">
        <v>25</v>
      </c>
      <c r="C14" s="26">
        <v>1742</v>
      </c>
      <c r="D14" s="26">
        <v>34</v>
      </c>
      <c r="E14" s="26">
        <v>17</v>
      </c>
      <c r="F14" s="34">
        <f t="shared" si="0"/>
        <v>17</v>
      </c>
      <c r="H14" s="44" t="s">
        <v>25</v>
      </c>
      <c r="I14" s="26">
        <v>-1174.45</v>
      </c>
      <c r="J14" s="26">
        <v>36</v>
      </c>
      <c r="K14" s="26">
        <v>14</v>
      </c>
      <c r="L14" s="34">
        <f t="shared" si="1"/>
        <v>22</v>
      </c>
    </row>
    <row r="15" spans="1:12" ht="15.75" customHeight="1" thickBot="1" x14ac:dyDescent="0.35">
      <c r="A15" s="7"/>
      <c r="B15" s="44" t="s">
        <v>26</v>
      </c>
      <c r="C15" s="35">
        <v>1731.55</v>
      </c>
      <c r="D15" s="35">
        <v>35</v>
      </c>
      <c r="E15" s="35">
        <v>15</v>
      </c>
      <c r="F15" s="36">
        <f t="shared" si="0"/>
        <v>20</v>
      </c>
      <c r="H15" s="44" t="s">
        <v>26</v>
      </c>
      <c r="I15" s="35">
        <v>-1507.9</v>
      </c>
      <c r="J15" s="35">
        <v>38</v>
      </c>
      <c r="K15" s="35">
        <v>10</v>
      </c>
      <c r="L15" s="36">
        <f t="shared" si="1"/>
        <v>28</v>
      </c>
    </row>
    <row r="16" spans="1:12" ht="12.75" customHeight="1" x14ac:dyDescent="0.3">
      <c r="D16" s="29">
        <f>SUM(D6:D15)</f>
        <v>325</v>
      </c>
      <c r="E16" s="29">
        <f t="shared" ref="E16:F16" si="2">SUM(E6:E15)</f>
        <v>128</v>
      </c>
      <c r="F16" s="29">
        <f t="shared" si="2"/>
        <v>197</v>
      </c>
      <c r="J16" s="29">
        <f t="shared" ref="J16:L16" si="3">SUM(J6:J15)</f>
        <v>339</v>
      </c>
      <c r="K16" s="29">
        <f t="shared" si="3"/>
        <v>155</v>
      </c>
      <c r="L16" s="29">
        <f t="shared" si="3"/>
        <v>190</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305.60000000000002</v>
      </c>
      <c r="D20" s="26">
        <v>16</v>
      </c>
      <c r="E20" s="26">
        <v>6</v>
      </c>
      <c r="F20" s="34">
        <f t="shared" ref="F20:F29" si="4">D20-E20</f>
        <v>10</v>
      </c>
      <c r="H20" s="44" t="s">
        <v>9</v>
      </c>
      <c r="I20" s="26">
        <v>-40.75</v>
      </c>
      <c r="J20" s="26">
        <v>16</v>
      </c>
      <c r="K20" s="26">
        <v>8</v>
      </c>
      <c r="L20" s="34">
        <f t="shared" ref="L20:L29" si="5">J20-K20</f>
        <v>8</v>
      </c>
    </row>
    <row r="21" spans="2:12" ht="15.75" customHeight="1" thickBot="1" x14ac:dyDescent="0.35">
      <c r="B21" s="44" t="s">
        <v>19</v>
      </c>
      <c r="C21" s="26">
        <v>345.95</v>
      </c>
      <c r="D21" s="26">
        <v>18</v>
      </c>
      <c r="E21" s="26">
        <v>8</v>
      </c>
      <c r="F21" s="34">
        <f t="shared" si="4"/>
        <v>10</v>
      </c>
      <c r="H21" s="44" t="s">
        <v>19</v>
      </c>
      <c r="I21" s="26">
        <v>1217.5</v>
      </c>
      <c r="J21" s="26">
        <v>20</v>
      </c>
      <c r="K21" s="26">
        <v>13</v>
      </c>
      <c r="L21" s="34">
        <f t="shared" si="5"/>
        <v>7</v>
      </c>
    </row>
    <row r="22" spans="2:12" ht="15.75" customHeight="1" thickBot="1" x14ac:dyDescent="0.35">
      <c r="B22" s="44" t="s">
        <v>20</v>
      </c>
      <c r="C22" s="26">
        <v>296.8</v>
      </c>
      <c r="D22" s="26">
        <v>15</v>
      </c>
      <c r="E22" s="26">
        <v>7</v>
      </c>
      <c r="F22" s="34">
        <f t="shared" si="4"/>
        <v>8</v>
      </c>
      <c r="H22" s="44" t="s">
        <v>20</v>
      </c>
      <c r="I22" s="26">
        <v>84.54</v>
      </c>
      <c r="J22" s="26">
        <v>18</v>
      </c>
      <c r="K22" s="26">
        <v>9</v>
      </c>
      <c r="L22" s="34">
        <f t="shared" si="5"/>
        <v>9</v>
      </c>
    </row>
    <row r="23" spans="2:12" ht="15.75" customHeight="1" thickBot="1" x14ac:dyDescent="0.35">
      <c r="B23" s="44" t="s">
        <v>21</v>
      </c>
      <c r="C23" s="26">
        <v>-1166.9100000000001</v>
      </c>
      <c r="D23" s="26">
        <v>23</v>
      </c>
      <c r="E23" s="26">
        <v>8</v>
      </c>
      <c r="F23" s="34">
        <f t="shared" si="4"/>
        <v>15</v>
      </c>
      <c r="H23" s="44" t="s">
        <v>21</v>
      </c>
      <c r="I23" s="26">
        <v>795.59</v>
      </c>
      <c r="J23" s="26">
        <v>23</v>
      </c>
      <c r="K23" s="26">
        <v>15</v>
      </c>
      <c r="L23" s="34">
        <f t="shared" si="5"/>
        <v>8</v>
      </c>
    </row>
    <row r="24" spans="2:12" ht="15.75" customHeight="1" thickBot="1" x14ac:dyDescent="0.35">
      <c r="B24" s="44" t="s">
        <v>22</v>
      </c>
      <c r="C24" s="26">
        <v>218.15</v>
      </c>
      <c r="D24" s="26">
        <v>22</v>
      </c>
      <c r="E24" s="26">
        <v>11</v>
      </c>
      <c r="F24" s="34">
        <f t="shared" si="4"/>
        <v>11</v>
      </c>
      <c r="H24" s="44" t="s">
        <v>22</v>
      </c>
      <c r="I24" s="26">
        <v>-794.2</v>
      </c>
      <c r="J24" s="26">
        <v>24</v>
      </c>
      <c r="K24" s="26">
        <v>11</v>
      </c>
      <c r="L24" s="34">
        <f t="shared" si="5"/>
        <v>13</v>
      </c>
    </row>
    <row r="25" spans="2:12" ht="15.75" customHeight="1" thickBot="1" x14ac:dyDescent="0.35">
      <c r="B25" s="44" t="s">
        <v>23</v>
      </c>
      <c r="C25" s="26">
        <v>341</v>
      </c>
      <c r="D25" s="26">
        <v>18</v>
      </c>
      <c r="E25" s="26">
        <v>8</v>
      </c>
      <c r="F25" s="34">
        <f t="shared" si="4"/>
        <v>10</v>
      </c>
      <c r="H25" s="44" t="s">
        <v>23</v>
      </c>
      <c r="I25" s="26">
        <v>-20</v>
      </c>
      <c r="J25" s="26">
        <v>26</v>
      </c>
      <c r="K25" s="26">
        <v>11</v>
      </c>
      <c r="L25" s="34">
        <f t="shared" si="5"/>
        <v>15</v>
      </c>
    </row>
    <row r="26" spans="2:12" ht="15.75" customHeight="1" thickBot="1" x14ac:dyDescent="0.35">
      <c r="B26" s="44" t="s">
        <v>24</v>
      </c>
      <c r="C26" s="26">
        <v>-100.59</v>
      </c>
      <c r="D26" s="26">
        <v>18</v>
      </c>
      <c r="E26" s="26">
        <v>9</v>
      </c>
      <c r="F26" s="34">
        <f t="shared" si="4"/>
        <v>9</v>
      </c>
      <c r="H26" s="44" t="s">
        <v>24</v>
      </c>
      <c r="I26" s="26">
        <v>-41.2</v>
      </c>
      <c r="J26" s="26">
        <v>23</v>
      </c>
      <c r="K26" s="26">
        <v>8</v>
      </c>
      <c r="L26" s="34">
        <f t="shared" si="5"/>
        <v>15</v>
      </c>
    </row>
    <row r="27" spans="2:12" ht="12.75" customHeight="1" thickBot="1" x14ac:dyDescent="0.35">
      <c r="B27" s="44" t="s">
        <v>10</v>
      </c>
      <c r="C27" s="26">
        <v>-1337.79</v>
      </c>
      <c r="D27" s="26">
        <v>31</v>
      </c>
      <c r="E27" s="26">
        <v>10</v>
      </c>
      <c r="F27" s="34">
        <f t="shared" si="4"/>
        <v>21</v>
      </c>
      <c r="H27" s="44" t="s">
        <v>10</v>
      </c>
      <c r="I27" s="26">
        <v>773.39</v>
      </c>
      <c r="J27" s="26">
        <v>32</v>
      </c>
      <c r="K27" s="26">
        <v>17</v>
      </c>
      <c r="L27" s="34">
        <f t="shared" si="5"/>
        <v>15</v>
      </c>
    </row>
    <row r="28" spans="2:12" ht="12.75" customHeight="1" thickBot="1" x14ac:dyDescent="0.35">
      <c r="B28" s="44" t="s">
        <v>25</v>
      </c>
      <c r="C28" s="26">
        <v>72.05</v>
      </c>
      <c r="D28" s="26">
        <v>21</v>
      </c>
      <c r="E28" s="26">
        <v>9</v>
      </c>
      <c r="F28" s="34">
        <f t="shared" si="4"/>
        <v>12</v>
      </c>
      <c r="H28" s="44" t="s">
        <v>25</v>
      </c>
      <c r="I28" s="26">
        <v>806.99</v>
      </c>
      <c r="J28" s="26">
        <v>24</v>
      </c>
      <c r="K28" s="26">
        <v>13</v>
      </c>
      <c r="L28" s="34">
        <f t="shared" si="5"/>
        <v>11</v>
      </c>
    </row>
    <row r="29" spans="2:12" ht="12.75" customHeight="1" thickBot="1" x14ac:dyDescent="0.35">
      <c r="B29" s="44" t="s">
        <v>26</v>
      </c>
      <c r="C29" s="35">
        <v>1191.75</v>
      </c>
      <c r="D29" s="35">
        <v>25</v>
      </c>
      <c r="E29" s="35">
        <v>10</v>
      </c>
      <c r="F29" s="36">
        <f t="shared" si="4"/>
        <v>15</v>
      </c>
      <c r="H29" s="44" t="s">
        <v>26</v>
      </c>
      <c r="I29" s="26">
        <v>259.24</v>
      </c>
      <c r="J29" s="35">
        <v>32</v>
      </c>
      <c r="K29" s="35">
        <v>15</v>
      </c>
      <c r="L29" s="36">
        <f t="shared" si="5"/>
        <v>17</v>
      </c>
    </row>
    <row r="30" spans="2:12" ht="12.75" customHeight="1" x14ac:dyDescent="0.3">
      <c r="D30" s="29">
        <f>SUM(D20:D29)</f>
        <v>207</v>
      </c>
      <c r="E30" s="29">
        <f>SUM(E20:E29)</f>
        <v>86</v>
      </c>
      <c r="F30" s="29">
        <f>SUM(F20:F29)</f>
        <v>121</v>
      </c>
      <c r="J30" s="29">
        <f t="shared" ref="J30:L30" si="6">SUM(J20:J29)</f>
        <v>238</v>
      </c>
      <c r="K30" s="29">
        <f t="shared" si="6"/>
        <v>120</v>
      </c>
      <c r="L30" s="29">
        <f t="shared" si="6"/>
        <v>118</v>
      </c>
    </row>
    <row r="31" spans="2:12" ht="12.75" customHeight="1" x14ac:dyDescent="0.3"/>
    <row r="32" spans="2:12" ht="12.75" customHeight="1" x14ac:dyDescent="0.3">
      <c r="B32" s="22" t="s">
        <v>12</v>
      </c>
      <c r="C32" s="41"/>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26">
        <v>2397.6999999999998</v>
      </c>
      <c r="D34" s="26">
        <v>27</v>
      </c>
      <c r="E34" s="26">
        <v>15</v>
      </c>
      <c r="F34" s="34">
        <f t="shared" ref="F34:F43" si="7">D34-E34</f>
        <v>12</v>
      </c>
      <c r="H34" s="44" t="s">
        <v>9</v>
      </c>
      <c r="I34" s="26">
        <v>31.55</v>
      </c>
      <c r="J34" s="26">
        <v>31</v>
      </c>
      <c r="K34" s="26">
        <v>16</v>
      </c>
      <c r="L34" s="34">
        <f t="shared" ref="L34:L43" si="8">J34-K34</f>
        <v>15</v>
      </c>
    </row>
    <row r="35" spans="2:12" ht="12.75" customHeight="1" thickBot="1" x14ac:dyDescent="0.35">
      <c r="B35" s="44" t="s">
        <v>19</v>
      </c>
      <c r="C35" s="26">
        <v>-127.39</v>
      </c>
      <c r="D35" s="26">
        <v>27</v>
      </c>
      <c r="E35" s="26">
        <v>12</v>
      </c>
      <c r="F35" s="34">
        <f t="shared" si="7"/>
        <v>15</v>
      </c>
      <c r="H35" s="44" t="s">
        <v>19</v>
      </c>
      <c r="I35" s="26">
        <v>-283.7</v>
      </c>
      <c r="J35" s="26">
        <v>31</v>
      </c>
      <c r="K35" s="26">
        <v>12</v>
      </c>
      <c r="L35" s="34">
        <f t="shared" si="8"/>
        <v>19</v>
      </c>
    </row>
    <row r="36" spans="2:12" ht="12.75" customHeight="1" thickBot="1" x14ac:dyDescent="0.35">
      <c r="B36" s="44" t="s">
        <v>20</v>
      </c>
      <c r="C36" s="26">
        <v>1051.0999999999999</v>
      </c>
      <c r="D36" s="26">
        <v>30</v>
      </c>
      <c r="E36" s="26">
        <v>18</v>
      </c>
      <c r="F36" s="34">
        <f t="shared" si="7"/>
        <v>12</v>
      </c>
      <c r="H36" s="44" t="s">
        <v>20</v>
      </c>
      <c r="I36" s="26">
        <v>-1486.5</v>
      </c>
      <c r="J36" s="26">
        <v>37</v>
      </c>
      <c r="K36" s="26">
        <v>13</v>
      </c>
      <c r="L36" s="34">
        <f t="shared" si="8"/>
        <v>24</v>
      </c>
    </row>
    <row r="37" spans="2:12" ht="12.75" customHeight="1" thickBot="1" x14ac:dyDescent="0.35">
      <c r="B37" s="44" t="s">
        <v>21</v>
      </c>
      <c r="C37" s="26">
        <v>683.4</v>
      </c>
      <c r="D37" s="26">
        <v>13</v>
      </c>
      <c r="E37" s="26">
        <v>29</v>
      </c>
      <c r="F37" s="34">
        <f t="shared" si="7"/>
        <v>-16</v>
      </c>
      <c r="H37" s="44" t="s">
        <v>21</v>
      </c>
      <c r="I37" s="26">
        <v>-551.4</v>
      </c>
      <c r="J37" s="26">
        <v>34</v>
      </c>
      <c r="K37" s="26">
        <v>16</v>
      </c>
      <c r="L37" s="34">
        <f t="shared" si="8"/>
        <v>18</v>
      </c>
    </row>
    <row r="38" spans="2:12" ht="12.75" customHeight="1" thickBot="1" x14ac:dyDescent="0.35">
      <c r="B38" s="44" t="s">
        <v>22</v>
      </c>
      <c r="C38" s="26">
        <v>1022.74</v>
      </c>
      <c r="D38" s="26">
        <v>25</v>
      </c>
      <c r="E38" s="26">
        <v>14</v>
      </c>
      <c r="F38" s="34">
        <f t="shared" si="7"/>
        <v>11</v>
      </c>
      <c r="H38" s="44" t="s">
        <v>22</v>
      </c>
      <c r="I38" s="26">
        <v>-394.9</v>
      </c>
      <c r="J38" s="26">
        <v>30</v>
      </c>
      <c r="K38" s="26">
        <v>13</v>
      </c>
      <c r="L38" s="34">
        <f t="shared" si="8"/>
        <v>17</v>
      </c>
    </row>
    <row r="39" spans="2:12" ht="12.75" customHeight="1" thickBot="1" x14ac:dyDescent="0.35">
      <c r="B39" s="44" t="s">
        <v>23</v>
      </c>
      <c r="C39" s="26">
        <v>104.35</v>
      </c>
      <c r="D39" s="26">
        <v>20</v>
      </c>
      <c r="E39" s="26">
        <v>8</v>
      </c>
      <c r="F39" s="34">
        <f t="shared" si="7"/>
        <v>12</v>
      </c>
      <c r="H39" s="44" t="s">
        <v>23</v>
      </c>
      <c r="I39" s="26">
        <v>74.69</v>
      </c>
      <c r="J39" s="26">
        <v>28</v>
      </c>
      <c r="K39" s="26">
        <v>15</v>
      </c>
      <c r="L39" s="34">
        <f t="shared" si="8"/>
        <v>13</v>
      </c>
    </row>
    <row r="40" spans="2:12" ht="12.75" customHeight="1" thickBot="1" x14ac:dyDescent="0.35">
      <c r="B40" s="44" t="s">
        <v>24</v>
      </c>
      <c r="C40" s="26">
        <v>203</v>
      </c>
      <c r="D40" s="26">
        <v>25</v>
      </c>
      <c r="E40" s="26">
        <v>13</v>
      </c>
      <c r="F40" s="34">
        <f t="shared" si="7"/>
        <v>12</v>
      </c>
      <c r="H40" s="44" t="s">
        <v>24</v>
      </c>
      <c r="I40" s="26">
        <v>-1613.65</v>
      </c>
      <c r="J40" s="26">
        <v>32</v>
      </c>
      <c r="K40" s="26">
        <v>12</v>
      </c>
      <c r="L40" s="34">
        <f t="shared" si="8"/>
        <v>20</v>
      </c>
    </row>
    <row r="41" spans="2:12" ht="12.75" customHeight="1" thickBot="1" x14ac:dyDescent="0.35">
      <c r="B41" s="44" t="s">
        <v>10</v>
      </c>
      <c r="C41" s="26">
        <v>572.1</v>
      </c>
      <c r="D41" s="26">
        <v>25</v>
      </c>
      <c r="E41" s="26">
        <v>12</v>
      </c>
      <c r="F41" s="34">
        <f t="shared" si="7"/>
        <v>13</v>
      </c>
      <c r="H41" s="44" t="s">
        <v>10</v>
      </c>
      <c r="I41" s="26">
        <v>-917.45</v>
      </c>
      <c r="J41" s="26">
        <v>28</v>
      </c>
      <c r="K41" s="26">
        <v>9</v>
      </c>
      <c r="L41" s="34">
        <f t="shared" si="8"/>
        <v>19</v>
      </c>
    </row>
    <row r="42" spans="2:12" ht="12.75" customHeight="1" thickBot="1" x14ac:dyDescent="0.35">
      <c r="B42" s="44" t="s">
        <v>25</v>
      </c>
      <c r="C42" s="26">
        <v>-445.49</v>
      </c>
      <c r="D42" s="26">
        <v>30</v>
      </c>
      <c r="E42" s="26">
        <v>12</v>
      </c>
      <c r="F42" s="34">
        <f t="shared" si="7"/>
        <v>18</v>
      </c>
      <c r="H42" s="44" t="s">
        <v>25</v>
      </c>
      <c r="I42" s="26">
        <v>-149.05000000000001</v>
      </c>
      <c r="J42" s="26">
        <v>35</v>
      </c>
      <c r="K42" s="26">
        <v>16</v>
      </c>
      <c r="L42" s="34">
        <f t="shared" si="8"/>
        <v>19</v>
      </c>
    </row>
    <row r="43" spans="2:12" ht="12.75" customHeight="1" thickBot="1" x14ac:dyDescent="0.35">
      <c r="B43" s="44" t="s">
        <v>26</v>
      </c>
      <c r="C43" s="35">
        <v>1985.7</v>
      </c>
      <c r="D43" s="35">
        <v>25</v>
      </c>
      <c r="E43" s="35">
        <v>14</v>
      </c>
      <c r="F43" s="36">
        <f t="shared" si="7"/>
        <v>11</v>
      </c>
      <c r="H43" s="44" t="s">
        <v>26</v>
      </c>
      <c r="I43" s="35">
        <v>-243.25</v>
      </c>
      <c r="J43" s="35">
        <v>34</v>
      </c>
      <c r="K43" s="35">
        <v>12</v>
      </c>
      <c r="L43" s="36">
        <f t="shared" si="8"/>
        <v>22</v>
      </c>
    </row>
    <row r="44" spans="2:12" ht="12.75" customHeight="1" x14ac:dyDescent="0.3">
      <c r="D44" s="29">
        <f>SUM(D34:D43)</f>
        <v>247</v>
      </c>
      <c r="E44" s="29">
        <f>SUM(E34:E43)</f>
        <v>147</v>
      </c>
      <c r="F44" s="29">
        <f>SUM(F34:F43)</f>
        <v>100</v>
      </c>
      <c r="J44" s="29">
        <f t="shared" ref="J44:L44" si="9">SUM(J34:J43)</f>
        <v>320</v>
      </c>
      <c r="K44" s="29">
        <f t="shared" si="9"/>
        <v>134</v>
      </c>
      <c r="L44" s="29">
        <f t="shared" si="9"/>
        <v>186</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37">
        <v>-1490.79</v>
      </c>
      <c r="D48" s="37">
        <v>23</v>
      </c>
      <c r="E48" s="37">
        <v>7</v>
      </c>
      <c r="F48" s="38">
        <f t="shared" ref="F48:F57" si="10">D48-E48</f>
        <v>16</v>
      </c>
      <c r="H48" s="44" t="s">
        <v>9</v>
      </c>
      <c r="I48" s="37">
        <v>740.94</v>
      </c>
      <c r="J48" s="37">
        <v>31</v>
      </c>
      <c r="K48" s="37">
        <v>15</v>
      </c>
      <c r="L48" s="38">
        <f t="shared" ref="L48:L57" si="11">J48-K48</f>
        <v>16</v>
      </c>
    </row>
    <row r="49" spans="2:12" ht="12.75" customHeight="1" thickBot="1" x14ac:dyDescent="0.35">
      <c r="B49" s="44" t="s">
        <v>19</v>
      </c>
      <c r="C49" s="37">
        <v>-480.04</v>
      </c>
      <c r="D49" s="37">
        <v>24</v>
      </c>
      <c r="E49" s="37">
        <v>8</v>
      </c>
      <c r="F49" s="38">
        <f t="shared" si="10"/>
        <v>16</v>
      </c>
      <c r="H49" s="44" t="s">
        <v>19</v>
      </c>
      <c r="I49" s="37">
        <v>1585.44</v>
      </c>
      <c r="J49" s="37">
        <v>24</v>
      </c>
      <c r="K49" s="37">
        <v>12</v>
      </c>
      <c r="L49" s="38">
        <f t="shared" si="11"/>
        <v>12</v>
      </c>
    </row>
    <row r="50" spans="2:12" ht="12.75" customHeight="1" thickBot="1" x14ac:dyDescent="0.35">
      <c r="B50" s="44" t="s">
        <v>20</v>
      </c>
      <c r="C50" s="37">
        <v>-463.59</v>
      </c>
      <c r="D50" s="37">
        <v>21</v>
      </c>
      <c r="E50" s="37">
        <v>7</v>
      </c>
      <c r="F50" s="38">
        <f t="shared" si="10"/>
        <v>14</v>
      </c>
      <c r="H50" s="44" t="s">
        <v>20</v>
      </c>
      <c r="I50" s="37">
        <v>-95.3</v>
      </c>
      <c r="J50" s="37">
        <v>27</v>
      </c>
      <c r="K50" s="37">
        <v>11</v>
      </c>
      <c r="L50" s="38">
        <f t="shared" si="11"/>
        <v>16</v>
      </c>
    </row>
    <row r="51" spans="2:12" ht="12.75" customHeight="1" thickBot="1" x14ac:dyDescent="0.35">
      <c r="B51" s="44" t="s">
        <v>21</v>
      </c>
      <c r="C51" s="37">
        <v>-564.35</v>
      </c>
      <c r="D51" s="37">
        <v>22</v>
      </c>
      <c r="E51" s="37">
        <v>9</v>
      </c>
      <c r="F51" s="38">
        <f t="shared" si="10"/>
        <v>13</v>
      </c>
      <c r="H51" s="44" t="s">
        <v>21</v>
      </c>
      <c r="I51" s="37">
        <v>-489.42</v>
      </c>
      <c r="J51" s="37">
        <v>29</v>
      </c>
      <c r="K51" s="37">
        <v>14</v>
      </c>
      <c r="L51" s="38">
        <f t="shared" si="11"/>
        <v>15</v>
      </c>
    </row>
    <row r="52" spans="2:12" ht="12.75" customHeight="1" thickBot="1" x14ac:dyDescent="0.35">
      <c r="B52" s="44" t="s">
        <v>22</v>
      </c>
      <c r="C52" s="37">
        <v>-243.04</v>
      </c>
      <c r="D52" s="37">
        <v>23</v>
      </c>
      <c r="E52" s="37">
        <v>8</v>
      </c>
      <c r="F52" s="38">
        <f t="shared" si="10"/>
        <v>15</v>
      </c>
      <c r="H52" s="44" t="s">
        <v>22</v>
      </c>
      <c r="I52" s="37">
        <v>2761.29</v>
      </c>
      <c r="J52" s="37">
        <v>23</v>
      </c>
      <c r="K52" s="37">
        <v>16</v>
      </c>
      <c r="L52" s="38">
        <f t="shared" si="11"/>
        <v>7</v>
      </c>
    </row>
    <row r="53" spans="2:12" ht="12.75" customHeight="1" thickBot="1" x14ac:dyDescent="0.35">
      <c r="B53" s="44" t="s">
        <v>23</v>
      </c>
      <c r="C53" s="37">
        <v>847.5</v>
      </c>
      <c r="D53" s="37">
        <v>26</v>
      </c>
      <c r="E53" s="37">
        <v>12</v>
      </c>
      <c r="F53" s="38">
        <f t="shared" si="10"/>
        <v>14</v>
      </c>
      <c r="H53" s="44" t="s">
        <v>23</v>
      </c>
      <c r="I53" s="37">
        <v>1460.09</v>
      </c>
      <c r="J53" s="37">
        <v>30</v>
      </c>
      <c r="K53" s="37">
        <v>17</v>
      </c>
      <c r="L53" s="38">
        <f t="shared" si="11"/>
        <v>13</v>
      </c>
    </row>
    <row r="54" spans="2:12" ht="12.75" customHeight="1" thickBot="1" x14ac:dyDescent="0.35">
      <c r="B54" s="44" t="s">
        <v>24</v>
      </c>
      <c r="C54" s="37">
        <v>-298.33999999999997</v>
      </c>
      <c r="D54" s="37">
        <v>20</v>
      </c>
      <c r="E54" s="37">
        <v>6</v>
      </c>
      <c r="F54" s="38">
        <f t="shared" si="10"/>
        <v>14</v>
      </c>
      <c r="H54" s="44" t="s">
        <v>24</v>
      </c>
      <c r="I54" s="37">
        <v>725.44</v>
      </c>
      <c r="J54" s="37">
        <v>20</v>
      </c>
      <c r="K54" s="37">
        <v>10</v>
      </c>
      <c r="L54" s="38">
        <f t="shared" si="11"/>
        <v>10</v>
      </c>
    </row>
    <row r="55" spans="2:12" ht="12.75" customHeight="1" thickBot="1" x14ac:dyDescent="0.35">
      <c r="B55" s="44" t="s">
        <v>10</v>
      </c>
      <c r="C55" s="37">
        <v>-893.54</v>
      </c>
      <c r="D55" s="37">
        <v>23</v>
      </c>
      <c r="E55" s="37">
        <v>8</v>
      </c>
      <c r="F55" s="38">
        <f t="shared" si="10"/>
        <v>15</v>
      </c>
      <c r="H55" s="44" t="s">
        <v>10</v>
      </c>
      <c r="I55" s="37">
        <v>656.14</v>
      </c>
      <c r="J55" s="37">
        <v>26</v>
      </c>
      <c r="K55" s="37">
        <v>12</v>
      </c>
      <c r="L55" s="38">
        <f t="shared" si="11"/>
        <v>14</v>
      </c>
    </row>
    <row r="56" spans="2:12" ht="12.75" customHeight="1" thickBot="1" x14ac:dyDescent="0.35">
      <c r="B56" s="44" t="s">
        <v>25</v>
      </c>
      <c r="C56" s="37">
        <v>-639.39</v>
      </c>
      <c r="D56" s="37">
        <v>23</v>
      </c>
      <c r="E56" s="37">
        <v>7</v>
      </c>
      <c r="F56" s="38">
        <f t="shared" si="10"/>
        <v>16</v>
      </c>
      <c r="H56" s="44" t="s">
        <v>25</v>
      </c>
      <c r="I56" s="37">
        <v>717.69</v>
      </c>
      <c r="J56" s="37">
        <v>24</v>
      </c>
      <c r="K56" s="37">
        <v>14</v>
      </c>
      <c r="L56" s="38">
        <f t="shared" si="11"/>
        <v>10</v>
      </c>
    </row>
    <row r="57" spans="2:12" ht="12.75" customHeight="1" thickBot="1" x14ac:dyDescent="0.35">
      <c r="B57" s="44" t="s">
        <v>26</v>
      </c>
      <c r="C57" s="39">
        <v>1169.3</v>
      </c>
      <c r="D57" s="39">
        <v>17</v>
      </c>
      <c r="E57" s="39">
        <v>8</v>
      </c>
      <c r="F57" s="40">
        <f t="shared" si="10"/>
        <v>9</v>
      </c>
      <c r="H57" s="44" t="s">
        <v>26</v>
      </c>
      <c r="I57" s="39">
        <v>991.44</v>
      </c>
      <c r="J57" s="39">
        <v>22</v>
      </c>
      <c r="K57" s="39">
        <v>11</v>
      </c>
      <c r="L57" s="40">
        <f t="shared" si="11"/>
        <v>11</v>
      </c>
    </row>
    <row r="58" spans="2:12" ht="12.75" customHeight="1" x14ac:dyDescent="0.3">
      <c r="D58" s="29">
        <f>SUM(D48:D57)</f>
        <v>222</v>
      </c>
      <c r="E58" s="29">
        <f>SUM(E48:E57)</f>
        <v>80</v>
      </c>
      <c r="F58" s="29">
        <f>SUM(F48:F57)</f>
        <v>142</v>
      </c>
      <c r="J58" s="29">
        <f t="shared" ref="J58:L58" si="12">SUM(J48:J57)</f>
        <v>256</v>
      </c>
      <c r="K58" s="29">
        <f t="shared" si="12"/>
        <v>132</v>
      </c>
      <c r="L58" s="29">
        <f t="shared" si="12"/>
        <v>124</v>
      </c>
    </row>
    <row r="59" spans="2:12" ht="12.75" customHeight="1" x14ac:dyDescent="0.3">
      <c r="C59" s="30" t="s">
        <v>14</v>
      </c>
      <c r="D59" s="30">
        <f>D58+D44+D30+D16</f>
        <v>1001</v>
      </c>
      <c r="E59" s="30">
        <f t="shared" ref="E59:F59" si="13">E58+E44+E30+E16</f>
        <v>441</v>
      </c>
      <c r="F59" s="30">
        <f t="shared" si="13"/>
        <v>560</v>
      </c>
      <c r="I59" s="30" t="s">
        <v>15</v>
      </c>
      <c r="J59" s="30">
        <f t="shared" ref="J59:L59" si="14">J58+J44+J30+J16</f>
        <v>1153</v>
      </c>
      <c r="K59" s="30">
        <f t="shared" si="14"/>
        <v>541</v>
      </c>
      <c r="L59" s="30">
        <f t="shared" si="14"/>
        <v>618</v>
      </c>
    </row>
    <row r="60" spans="2:12" ht="12.75" customHeight="1" x14ac:dyDescent="0.3"/>
    <row r="61" spans="2:12" ht="12.75" customHeight="1" x14ac:dyDescent="0.3">
      <c r="C61" s="31" t="s">
        <v>16</v>
      </c>
      <c r="D61" s="31">
        <f>D59+J59</f>
        <v>2154</v>
      </c>
      <c r="E61" s="31">
        <f t="shared" ref="E61" si="15">E59+K59</f>
        <v>982</v>
      </c>
      <c r="F61" s="31">
        <f>F59+L59</f>
        <v>1178</v>
      </c>
    </row>
    <row r="62" spans="2:12" ht="12.75" customHeight="1" x14ac:dyDescent="0.3">
      <c r="C62" s="32" t="s">
        <v>17</v>
      </c>
      <c r="D62" s="33">
        <f>E61/D61</f>
        <v>0.45589600742804087</v>
      </c>
    </row>
    <row r="63" spans="2:12" ht="12.75" customHeight="1" x14ac:dyDescent="0.3">
      <c r="C63" s="32" t="s">
        <v>18</v>
      </c>
      <c r="D63" s="33">
        <f>1-D62</f>
        <v>0.54410399257195907</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5CDA-CB85-4F3C-9965-6B0DB6B20E76}">
  <dimension ref="A1:L1000"/>
  <sheetViews>
    <sheetView topLeftCell="A35" workbookViewId="0">
      <selection activeCell="B35" sqref="B1:B1048576"/>
    </sheetView>
  </sheetViews>
  <sheetFormatPr defaultColWidth="12.6640625" defaultRowHeight="15.6" x14ac:dyDescent="0.3"/>
  <cols>
    <col min="1" max="1" width="4.6640625" style="25" customWidth="1"/>
    <col min="2" max="2" width="12.6640625" style="25"/>
    <col min="3" max="3" width="18.33203125" style="25" customWidth="1"/>
    <col min="4" max="4" width="32.21875" style="25" customWidth="1"/>
    <col min="5" max="5" width="21.109375" style="25" customWidth="1"/>
    <col min="6" max="6" width="23.33203125" style="25" customWidth="1"/>
    <col min="7" max="8" width="12.6640625" style="25"/>
    <col min="9" max="9" width="17.77734375" style="25" customWidth="1"/>
    <col min="10" max="10" width="32.21875" style="25" customWidth="1"/>
    <col min="11" max="11" width="20.77734375" style="25" customWidth="1"/>
    <col min="12" max="12" width="23.21875" style="25" customWidth="1"/>
    <col min="13" max="16384" width="12.6640625" style="25"/>
  </cols>
  <sheetData>
    <row r="1" spans="1:12" ht="15.75" customHeight="1" x14ac:dyDescent="0.3">
      <c r="A1" s="21"/>
      <c r="B1" s="62" t="s">
        <v>0</v>
      </c>
      <c r="C1" s="63"/>
      <c r="D1" s="63"/>
      <c r="E1" s="63"/>
      <c r="F1" s="63"/>
      <c r="G1" s="63"/>
      <c r="H1" s="63"/>
      <c r="I1" s="63"/>
      <c r="J1" s="63"/>
      <c r="K1" s="63"/>
      <c r="L1" s="63"/>
    </row>
    <row r="2" spans="1:12" ht="15.75" customHeight="1" x14ac:dyDescent="0.3">
      <c r="A2" s="21"/>
      <c r="B2" s="21"/>
      <c r="C2" s="26"/>
      <c r="D2" s="26"/>
      <c r="E2" s="26"/>
      <c r="F2" s="26"/>
      <c r="H2" s="21"/>
    </row>
    <row r="3" spans="1:12" ht="15.75" customHeight="1" x14ac:dyDescent="0.3">
      <c r="A3" s="21"/>
      <c r="B3" s="64" t="s">
        <v>1</v>
      </c>
      <c r="C3" s="63"/>
      <c r="D3" s="63"/>
      <c r="E3" s="63"/>
      <c r="F3" s="63"/>
      <c r="H3" s="64" t="s">
        <v>2</v>
      </c>
      <c r="I3" s="63"/>
      <c r="J3" s="63"/>
      <c r="K3" s="63"/>
      <c r="L3" s="63"/>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-514.84</v>
      </c>
      <c r="D6" s="26">
        <v>62</v>
      </c>
      <c r="E6" s="26">
        <v>27</v>
      </c>
      <c r="F6" s="34">
        <f t="shared" ref="F6:F15" si="0">D6-E6</f>
        <v>35</v>
      </c>
      <c r="H6" s="44" t="s">
        <v>9</v>
      </c>
      <c r="I6" s="26">
        <v>467.09</v>
      </c>
      <c r="J6" s="26">
        <v>60</v>
      </c>
      <c r="K6" s="26">
        <v>30</v>
      </c>
      <c r="L6" s="34">
        <v>19</v>
      </c>
    </row>
    <row r="7" spans="1:12" ht="15.75" customHeight="1" thickBot="1" x14ac:dyDescent="0.35">
      <c r="A7" s="20"/>
      <c r="B7" s="44" t="s">
        <v>19</v>
      </c>
      <c r="C7" s="26">
        <v>1172.9000000000001</v>
      </c>
      <c r="D7" s="26">
        <v>57</v>
      </c>
      <c r="E7" s="26">
        <v>33</v>
      </c>
      <c r="F7" s="34">
        <f t="shared" si="0"/>
        <v>24</v>
      </c>
      <c r="H7" s="44" t="s">
        <v>19</v>
      </c>
      <c r="I7" s="26">
        <v>-906.8</v>
      </c>
      <c r="J7" s="26">
        <v>67</v>
      </c>
      <c r="K7" s="26">
        <v>31</v>
      </c>
      <c r="L7" s="34">
        <f t="shared" ref="L7:L15" si="1">J7-K7</f>
        <v>36</v>
      </c>
    </row>
    <row r="8" spans="1:12" ht="15.75" customHeight="1" thickBot="1" x14ac:dyDescent="0.35">
      <c r="A8" s="7"/>
      <c r="B8" s="44" t="s">
        <v>20</v>
      </c>
      <c r="C8" s="26">
        <v>1008.55</v>
      </c>
      <c r="D8" s="26">
        <v>58</v>
      </c>
      <c r="E8" s="26">
        <v>29</v>
      </c>
      <c r="F8" s="34">
        <f t="shared" si="0"/>
        <v>29</v>
      </c>
      <c r="H8" s="44" t="s">
        <v>20</v>
      </c>
      <c r="I8" s="26">
        <v>-731.4</v>
      </c>
      <c r="J8" s="26">
        <v>68</v>
      </c>
      <c r="K8" s="26">
        <v>34</v>
      </c>
      <c r="L8" s="34">
        <f t="shared" si="1"/>
        <v>34</v>
      </c>
    </row>
    <row r="9" spans="1:12" ht="15.75" customHeight="1" thickBot="1" x14ac:dyDescent="0.35">
      <c r="A9" s="20"/>
      <c r="B9" s="44" t="s">
        <v>21</v>
      </c>
      <c r="C9" s="26">
        <v>1064.69</v>
      </c>
      <c r="D9" s="26">
        <v>60</v>
      </c>
      <c r="E9" s="26">
        <v>31</v>
      </c>
      <c r="F9" s="34">
        <f t="shared" si="0"/>
        <v>29</v>
      </c>
      <c r="H9" s="44" t="s">
        <v>21</v>
      </c>
      <c r="I9" s="26">
        <v>-1789.26</v>
      </c>
      <c r="J9" s="26">
        <v>64</v>
      </c>
      <c r="K9" s="26">
        <v>25</v>
      </c>
      <c r="L9" s="34">
        <f t="shared" si="1"/>
        <v>39</v>
      </c>
    </row>
    <row r="10" spans="1:12" ht="15.75" customHeight="1" thickBot="1" x14ac:dyDescent="0.35">
      <c r="A10" s="7"/>
      <c r="B10" s="44" t="s">
        <v>22</v>
      </c>
      <c r="C10" s="26">
        <v>896.1</v>
      </c>
      <c r="D10" s="26">
        <v>67</v>
      </c>
      <c r="E10" s="26">
        <v>32</v>
      </c>
      <c r="F10" s="34">
        <f t="shared" si="0"/>
        <v>35</v>
      </c>
      <c r="H10" s="44" t="s">
        <v>22</v>
      </c>
      <c r="I10" s="26">
        <v>-1081.05</v>
      </c>
      <c r="J10" s="26">
        <v>64</v>
      </c>
      <c r="K10" s="26">
        <v>28</v>
      </c>
      <c r="L10" s="34">
        <f t="shared" si="1"/>
        <v>36</v>
      </c>
    </row>
    <row r="11" spans="1:12" ht="15.75" customHeight="1" thickBot="1" x14ac:dyDescent="0.35">
      <c r="A11" s="7"/>
      <c r="B11" s="44" t="s">
        <v>23</v>
      </c>
      <c r="C11" s="26">
        <v>1302.6500000000001</v>
      </c>
      <c r="D11" s="26">
        <v>72</v>
      </c>
      <c r="E11" s="26">
        <v>35</v>
      </c>
      <c r="F11" s="34">
        <f t="shared" si="0"/>
        <v>37</v>
      </c>
      <c r="H11" s="44" t="s">
        <v>23</v>
      </c>
      <c r="I11" s="26">
        <v>1573.84</v>
      </c>
      <c r="J11" s="26">
        <v>74</v>
      </c>
      <c r="K11" s="26">
        <v>40</v>
      </c>
      <c r="L11" s="34">
        <f t="shared" si="1"/>
        <v>34</v>
      </c>
    </row>
    <row r="12" spans="1:12" ht="15.75" customHeight="1" thickBot="1" x14ac:dyDescent="0.35">
      <c r="A12" s="20"/>
      <c r="B12" s="44" t="s">
        <v>24</v>
      </c>
      <c r="C12" s="26">
        <v>-242.74</v>
      </c>
      <c r="D12" s="26">
        <v>76</v>
      </c>
      <c r="E12" s="26">
        <v>31</v>
      </c>
      <c r="F12" s="34">
        <f t="shared" si="0"/>
        <v>45</v>
      </c>
      <c r="H12" s="44" t="s">
        <v>24</v>
      </c>
      <c r="I12" s="26">
        <v>-71.8</v>
      </c>
      <c r="J12" s="26">
        <v>73</v>
      </c>
      <c r="K12" s="26">
        <v>32</v>
      </c>
      <c r="L12" s="34">
        <f t="shared" si="1"/>
        <v>41</v>
      </c>
    </row>
    <row r="13" spans="1:12" ht="15.75" customHeight="1" thickBot="1" x14ac:dyDescent="0.35">
      <c r="A13" s="7"/>
      <c r="B13" s="44" t="s">
        <v>10</v>
      </c>
      <c r="C13" s="26">
        <v>3397.6</v>
      </c>
      <c r="D13" s="26">
        <v>66</v>
      </c>
      <c r="E13" s="26">
        <v>38</v>
      </c>
      <c r="F13" s="34">
        <f t="shared" si="0"/>
        <v>28</v>
      </c>
      <c r="H13" s="44" t="s">
        <v>10</v>
      </c>
      <c r="I13" s="26">
        <v>-778.8</v>
      </c>
      <c r="J13" s="26">
        <v>71</v>
      </c>
      <c r="K13" s="26">
        <v>30</v>
      </c>
      <c r="L13" s="34">
        <f t="shared" si="1"/>
        <v>41</v>
      </c>
    </row>
    <row r="14" spans="1:12" ht="15.75" customHeight="1" thickBot="1" x14ac:dyDescent="0.35">
      <c r="A14" s="20"/>
      <c r="B14" s="44" t="s">
        <v>25</v>
      </c>
      <c r="C14" s="26">
        <v>2419.8000000000002</v>
      </c>
      <c r="D14" s="26">
        <v>67</v>
      </c>
      <c r="E14" s="26">
        <v>36</v>
      </c>
      <c r="F14" s="34">
        <f t="shared" si="0"/>
        <v>31</v>
      </c>
      <c r="H14" s="44" t="s">
        <v>25</v>
      </c>
      <c r="I14" s="26">
        <v>-180.55</v>
      </c>
      <c r="J14" s="26">
        <v>68</v>
      </c>
      <c r="K14" s="26">
        <v>31</v>
      </c>
      <c r="L14" s="34">
        <f t="shared" si="1"/>
        <v>37</v>
      </c>
    </row>
    <row r="15" spans="1:12" ht="15.75" customHeight="1" thickBot="1" x14ac:dyDescent="0.35">
      <c r="A15" s="7"/>
      <c r="B15" s="44" t="s">
        <v>26</v>
      </c>
      <c r="C15" s="35">
        <v>3513.95</v>
      </c>
      <c r="D15" s="35">
        <v>65</v>
      </c>
      <c r="E15" s="35">
        <v>34</v>
      </c>
      <c r="F15" s="36">
        <f t="shared" si="0"/>
        <v>31</v>
      </c>
      <c r="H15" s="44" t="s">
        <v>26</v>
      </c>
      <c r="I15" s="35">
        <v>-4009.2</v>
      </c>
      <c r="J15" s="35">
        <v>77</v>
      </c>
      <c r="K15" s="35">
        <v>24</v>
      </c>
      <c r="L15" s="36">
        <f t="shared" si="1"/>
        <v>53</v>
      </c>
    </row>
    <row r="16" spans="1:12" ht="12.75" customHeight="1" x14ac:dyDescent="0.3">
      <c r="D16" s="29">
        <f>SUM(D6:D15)</f>
        <v>650</v>
      </c>
      <c r="E16" s="29">
        <f t="shared" ref="E16:F16" si="2">SUM(E6:E15)</f>
        <v>326</v>
      </c>
      <c r="F16" s="29">
        <f t="shared" si="2"/>
        <v>324</v>
      </c>
      <c r="J16" s="29">
        <f t="shared" ref="J16:L16" si="3">SUM(J6:J15)</f>
        <v>686</v>
      </c>
      <c r="K16" s="29">
        <f t="shared" si="3"/>
        <v>305</v>
      </c>
      <c r="L16" s="29">
        <f t="shared" si="3"/>
        <v>370</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-1384.64</v>
      </c>
      <c r="D20" s="26">
        <v>60</v>
      </c>
      <c r="E20" s="26">
        <v>23</v>
      </c>
      <c r="F20" s="34">
        <f t="shared" ref="F20:F29" si="4">D20-E20</f>
        <v>37</v>
      </c>
      <c r="H20" s="44" t="s">
        <v>9</v>
      </c>
      <c r="I20" s="26">
        <v>2066.8000000000002</v>
      </c>
      <c r="J20" s="26">
        <v>57</v>
      </c>
      <c r="K20" s="26">
        <v>37</v>
      </c>
      <c r="L20" s="34">
        <f t="shared" ref="L20:L29" si="5">J20-K20</f>
        <v>20</v>
      </c>
    </row>
    <row r="21" spans="2:12" ht="15.75" customHeight="1" thickBot="1" x14ac:dyDescent="0.35">
      <c r="B21" s="44" t="s">
        <v>19</v>
      </c>
      <c r="C21" s="26">
        <v>596.94000000000005</v>
      </c>
      <c r="D21" s="26">
        <v>65</v>
      </c>
      <c r="E21" s="26">
        <v>31</v>
      </c>
      <c r="F21" s="34">
        <f t="shared" si="4"/>
        <v>34</v>
      </c>
      <c r="H21" s="44" t="s">
        <v>19</v>
      </c>
      <c r="I21" s="26">
        <v>541.54</v>
      </c>
      <c r="J21" s="26">
        <v>59</v>
      </c>
      <c r="K21" s="26">
        <v>33</v>
      </c>
      <c r="L21" s="34">
        <f t="shared" si="5"/>
        <v>26</v>
      </c>
    </row>
    <row r="22" spans="2:12" ht="15.75" customHeight="1" thickBot="1" x14ac:dyDescent="0.35">
      <c r="B22" s="44" t="s">
        <v>20</v>
      </c>
      <c r="C22" s="26">
        <v>-815.69</v>
      </c>
      <c r="D22" s="26">
        <v>63</v>
      </c>
      <c r="E22" s="26">
        <v>28</v>
      </c>
      <c r="F22" s="34">
        <f t="shared" si="4"/>
        <v>35</v>
      </c>
      <c r="H22" s="44" t="s">
        <v>20</v>
      </c>
      <c r="I22" s="26">
        <v>2713.14</v>
      </c>
      <c r="J22" s="26">
        <v>59</v>
      </c>
      <c r="K22" s="26">
        <v>38</v>
      </c>
      <c r="L22" s="34">
        <f t="shared" si="5"/>
        <v>21</v>
      </c>
    </row>
    <row r="23" spans="2:12" ht="15.75" customHeight="1" thickBot="1" x14ac:dyDescent="0.35">
      <c r="B23" s="44" t="s">
        <v>21</v>
      </c>
      <c r="C23" s="26">
        <v>-93.17</v>
      </c>
      <c r="D23" s="26">
        <v>67</v>
      </c>
      <c r="E23" s="26">
        <v>30</v>
      </c>
      <c r="F23" s="34">
        <f t="shared" si="4"/>
        <v>37</v>
      </c>
      <c r="H23" s="44" t="s">
        <v>21</v>
      </c>
      <c r="I23" s="26">
        <v>725.53</v>
      </c>
      <c r="J23" s="26">
        <v>65</v>
      </c>
      <c r="K23" s="26">
        <v>37</v>
      </c>
      <c r="L23" s="34">
        <f t="shared" si="5"/>
        <v>28</v>
      </c>
    </row>
    <row r="24" spans="2:12" ht="15.75" customHeight="1" thickBot="1" x14ac:dyDescent="0.35">
      <c r="B24" s="44" t="s">
        <v>22</v>
      </c>
      <c r="C24" s="26">
        <v>-120.14</v>
      </c>
      <c r="D24" s="26">
        <v>59</v>
      </c>
      <c r="E24" s="26">
        <v>27</v>
      </c>
      <c r="F24" s="34">
        <f t="shared" si="4"/>
        <v>32</v>
      </c>
      <c r="H24" s="44" t="s">
        <v>22</v>
      </c>
      <c r="I24" s="26">
        <v>-777.9</v>
      </c>
      <c r="J24" s="26">
        <v>66</v>
      </c>
      <c r="K24" s="26">
        <v>25</v>
      </c>
      <c r="L24" s="34">
        <f t="shared" si="5"/>
        <v>41</v>
      </c>
    </row>
    <row r="25" spans="2:12" ht="15.75" customHeight="1" thickBot="1" x14ac:dyDescent="0.35">
      <c r="B25" s="44" t="s">
        <v>23</v>
      </c>
      <c r="C25" s="26">
        <v>-1591.49</v>
      </c>
      <c r="D25" s="26">
        <v>69</v>
      </c>
      <c r="E25" s="26">
        <v>29</v>
      </c>
      <c r="F25" s="34">
        <f t="shared" si="4"/>
        <v>40</v>
      </c>
      <c r="H25" s="44" t="s">
        <v>23</v>
      </c>
      <c r="I25" s="26">
        <v>715.14</v>
      </c>
      <c r="J25" s="26">
        <v>69</v>
      </c>
      <c r="K25" s="26">
        <v>35</v>
      </c>
      <c r="L25" s="34">
        <f t="shared" si="5"/>
        <v>34</v>
      </c>
    </row>
    <row r="26" spans="2:12" ht="15.75" customHeight="1" thickBot="1" x14ac:dyDescent="0.35">
      <c r="B26" s="44" t="s">
        <v>24</v>
      </c>
      <c r="C26" s="26">
        <v>181.55</v>
      </c>
      <c r="D26" s="26">
        <v>63</v>
      </c>
      <c r="E26" s="26">
        <v>28</v>
      </c>
      <c r="F26" s="34">
        <f t="shared" si="4"/>
        <v>35</v>
      </c>
      <c r="H26" s="44" t="s">
        <v>24</v>
      </c>
      <c r="I26" s="26">
        <v>78.14</v>
      </c>
      <c r="J26" s="26">
        <v>64</v>
      </c>
      <c r="K26" s="26">
        <v>31</v>
      </c>
      <c r="L26" s="34">
        <f t="shared" si="5"/>
        <v>33</v>
      </c>
    </row>
    <row r="27" spans="2:12" ht="12.75" customHeight="1" thickBot="1" x14ac:dyDescent="0.35">
      <c r="B27" s="44" t="s">
        <v>10</v>
      </c>
      <c r="C27" s="26">
        <v>548.45000000000005</v>
      </c>
      <c r="D27" s="26">
        <v>69</v>
      </c>
      <c r="E27" s="26">
        <v>32</v>
      </c>
      <c r="F27" s="34">
        <f t="shared" si="4"/>
        <v>37</v>
      </c>
      <c r="H27" s="44" t="s">
        <v>10</v>
      </c>
      <c r="I27" s="26">
        <v>1673.44</v>
      </c>
      <c r="J27" s="26">
        <v>69</v>
      </c>
      <c r="K27" s="26">
        <v>36</v>
      </c>
      <c r="L27" s="34">
        <f t="shared" si="5"/>
        <v>33</v>
      </c>
    </row>
    <row r="28" spans="2:12" ht="12.75" customHeight="1" thickBot="1" x14ac:dyDescent="0.35">
      <c r="B28" s="44" t="s">
        <v>25</v>
      </c>
      <c r="C28" s="26">
        <v>-1102.3900000000001</v>
      </c>
      <c r="D28" s="26">
        <v>77</v>
      </c>
      <c r="E28" s="26">
        <v>31</v>
      </c>
      <c r="F28" s="34">
        <f t="shared" si="4"/>
        <v>46</v>
      </c>
      <c r="H28" s="44" t="s">
        <v>25</v>
      </c>
      <c r="I28" s="26">
        <v>2045.39</v>
      </c>
      <c r="J28" s="26">
        <v>67</v>
      </c>
      <c r="K28" s="26">
        <v>34</v>
      </c>
      <c r="L28" s="34">
        <f t="shared" si="5"/>
        <v>33</v>
      </c>
    </row>
    <row r="29" spans="2:12" ht="12.75" customHeight="1" thickBot="1" x14ac:dyDescent="0.35">
      <c r="B29" s="44" t="s">
        <v>26</v>
      </c>
      <c r="C29" s="35">
        <v>3379.2</v>
      </c>
      <c r="D29" s="35">
        <v>65</v>
      </c>
      <c r="E29" s="35">
        <v>32</v>
      </c>
      <c r="F29" s="36">
        <f t="shared" si="4"/>
        <v>33</v>
      </c>
      <c r="H29" s="44" t="s">
        <v>26</v>
      </c>
      <c r="I29" s="26">
        <v>3136.09</v>
      </c>
      <c r="J29" s="35">
        <v>64</v>
      </c>
      <c r="K29" s="35">
        <v>35</v>
      </c>
      <c r="L29" s="36">
        <f t="shared" si="5"/>
        <v>29</v>
      </c>
    </row>
    <row r="30" spans="2:12" ht="12.75" customHeight="1" x14ac:dyDescent="0.3">
      <c r="D30" s="29">
        <f>SUM(D20:D29)</f>
        <v>657</v>
      </c>
      <c r="E30" s="29">
        <f>SUM(E20:E29)</f>
        <v>291</v>
      </c>
      <c r="F30" s="29">
        <f>SUM(F20:F29)</f>
        <v>366</v>
      </c>
      <c r="J30" s="29">
        <f t="shared" ref="J30:L30" si="6">SUM(J20:J29)</f>
        <v>639</v>
      </c>
      <c r="K30" s="29">
        <f t="shared" si="6"/>
        <v>341</v>
      </c>
      <c r="L30" s="29">
        <f t="shared" si="6"/>
        <v>298</v>
      </c>
    </row>
    <row r="31" spans="2:12" ht="12.75" customHeight="1" x14ac:dyDescent="0.3"/>
    <row r="32" spans="2:12" ht="12.75" customHeight="1" x14ac:dyDescent="0.3">
      <c r="B32" s="22" t="s">
        <v>12</v>
      </c>
      <c r="C32" s="27"/>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26">
        <v>146.69999999999999</v>
      </c>
      <c r="D34" s="26">
        <v>66</v>
      </c>
      <c r="E34" s="26">
        <v>30</v>
      </c>
      <c r="F34" s="34">
        <f t="shared" ref="F34:F43" si="7">D34-E34</f>
        <v>36</v>
      </c>
      <c r="H34" s="44" t="s">
        <v>9</v>
      </c>
      <c r="I34" s="26">
        <v>-587.95000000000005</v>
      </c>
      <c r="J34" s="26">
        <v>61</v>
      </c>
      <c r="K34" s="26">
        <v>30</v>
      </c>
      <c r="L34" s="34">
        <f t="shared" ref="L34:L43" si="8">J34-K34</f>
        <v>31</v>
      </c>
    </row>
    <row r="35" spans="2:12" ht="12.75" customHeight="1" thickBot="1" x14ac:dyDescent="0.35">
      <c r="B35" s="44" t="s">
        <v>19</v>
      </c>
      <c r="C35" s="26">
        <v>-168</v>
      </c>
      <c r="D35" s="26">
        <v>58</v>
      </c>
      <c r="E35" s="26">
        <v>33</v>
      </c>
      <c r="F35" s="34">
        <f t="shared" si="7"/>
        <v>25</v>
      </c>
      <c r="H35" s="44" t="s">
        <v>19</v>
      </c>
      <c r="I35" s="26">
        <v>-152.6</v>
      </c>
      <c r="J35" s="26">
        <v>58</v>
      </c>
      <c r="K35" s="26">
        <v>23</v>
      </c>
      <c r="L35" s="34">
        <f t="shared" si="8"/>
        <v>35</v>
      </c>
    </row>
    <row r="36" spans="2:12" ht="12.75" customHeight="1" thickBot="1" x14ac:dyDescent="0.35">
      <c r="B36" s="44" t="s">
        <v>20</v>
      </c>
      <c r="C36" s="26">
        <v>462.25</v>
      </c>
      <c r="D36" s="26">
        <v>59</v>
      </c>
      <c r="E36" s="26">
        <v>30</v>
      </c>
      <c r="F36" s="34">
        <f t="shared" si="7"/>
        <v>29</v>
      </c>
      <c r="H36" s="44" t="s">
        <v>20</v>
      </c>
      <c r="I36" s="26">
        <v>-1455.35</v>
      </c>
      <c r="J36" s="26">
        <v>64</v>
      </c>
      <c r="K36" s="26">
        <v>37</v>
      </c>
      <c r="L36" s="34">
        <f t="shared" si="8"/>
        <v>27</v>
      </c>
    </row>
    <row r="37" spans="2:12" ht="12.75" customHeight="1" thickBot="1" x14ac:dyDescent="0.35">
      <c r="B37" s="44" t="s">
        <v>21</v>
      </c>
      <c r="C37" s="26">
        <v>655.52</v>
      </c>
      <c r="D37" s="26">
        <v>60</v>
      </c>
      <c r="E37" s="26">
        <v>28</v>
      </c>
      <c r="F37" s="34">
        <f t="shared" si="7"/>
        <v>32</v>
      </c>
      <c r="H37" s="44" t="s">
        <v>21</v>
      </c>
      <c r="I37" s="26">
        <v>-448.77</v>
      </c>
      <c r="J37" s="26">
        <v>63</v>
      </c>
      <c r="K37" s="26">
        <v>27</v>
      </c>
      <c r="L37" s="34">
        <f t="shared" si="8"/>
        <v>36</v>
      </c>
    </row>
    <row r="38" spans="2:12" ht="12.75" customHeight="1" thickBot="1" x14ac:dyDescent="0.35">
      <c r="B38" s="44" t="s">
        <v>22</v>
      </c>
      <c r="C38" s="26">
        <v>1499.09</v>
      </c>
      <c r="D38" s="26">
        <v>63</v>
      </c>
      <c r="E38" s="26">
        <v>33</v>
      </c>
      <c r="F38" s="34">
        <f t="shared" si="7"/>
        <v>30</v>
      </c>
      <c r="H38" s="44" t="s">
        <v>22</v>
      </c>
      <c r="I38" s="26">
        <v>-1002.19</v>
      </c>
      <c r="J38" s="26">
        <v>62</v>
      </c>
      <c r="K38" s="26">
        <v>30</v>
      </c>
      <c r="L38" s="34">
        <f t="shared" si="8"/>
        <v>32</v>
      </c>
    </row>
    <row r="39" spans="2:12" ht="12.75" customHeight="1" thickBot="1" x14ac:dyDescent="0.35">
      <c r="B39" s="44" t="s">
        <v>23</v>
      </c>
      <c r="C39" s="26">
        <v>-527.04</v>
      </c>
      <c r="D39" s="26">
        <v>58</v>
      </c>
      <c r="E39" s="26">
        <v>26</v>
      </c>
      <c r="F39" s="34">
        <f t="shared" si="7"/>
        <v>32</v>
      </c>
      <c r="H39" s="44" t="s">
        <v>23</v>
      </c>
      <c r="I39" s="26">
        <v>1678.54</v>
      </c>
      <c r="J39" s="26">
        <v>65</v>
      </c>
      <c r="K39" s="26">
        <v>32</v>
      </c>
      <c r="L39" s="34">
        <f t="shared" si="8"/>
        <v>33</v>
      </c>
    </row>
    <row r="40" spans="2:12" ht="12.75" customHeight="1" thickBot="1" x14ac:dyDescent="0.35">
      <c r="B40" s="44" t="s">
        <v>24</v>
      </c>
      <c r="C40" s="26">
        <v>1192.95</v>
      </c>
      <c r="D40" s="26">
        <v>67</v>
      </c>
      <c r="E40" s="26">
        <v>33</v>
      </c>
      <c r="F40" s="34">
        <f t="shared" si="7"/>
        <v>34</v>
      </c>
      <c r="H40" s="44" t="s">
        <v>24</v>
      </c>
      <c r="I40" s="26">
        <v>-1253.45</v>
      </c>
      <c r="J40" s="26">
        <v>64</v>
      </c>
      <c r="K40" s="26">
        <v>27</v>
      </c>
      <c r="L40" s="34">
        <f t="shared" si="8"/>
        <v>37</v>
      </c>
    </row>
    <row r="41" spans="2:12" ht="12.75" customHeight="1" thickBot="1" x14ac:dyDescent="0.35">
      <c r="B41" s="44" t="s">
        <v>10</v>
      </c>
      <c r="C41" s="26">
        <v>-527.54</v>
      </c>
      <c r="D41" s="26">
        <v>70</v>
      </c>
      <c r="E41" s="26">
        <v>33</v>
      </c>
      <c r="F41" s="34">
        <f t="shared" si="7"/>
        <v>37</v>
      </c>
      <c r="H41" s="44" t="s">
        <v>10</v>
      </c>
      <c r="I41" s="26">
        <v>-1885.65</v>
      </c>
      <c r="J41" s="26">
        <v>76</v>
      </c>
      <c r="K41" s="26">
        <v>32</v>
      </c>
      <c r="L41" s="34">
        <f t="shared" si="8"/>
        <v>44</v>
      </c>
    </row>
    <row r="42" spans="2:12" ht="12.75" customHeight="1" thickBot="1" x14ac:dyDescent="0.35">
      <c r="B42" s="44" t="s">
        <v>25</v>
      </c>
      <c r="C42" s="26">
        <v>686.15</v>
      </c>
      <c r="D42" s="26">
        <v>73</v>
      </c>
      <c r="E42" s="26">
        <v>34</v>
      </c>
      <c r="F42" s="34">
        <f t="shared" si="7"/>
        <v>39</v>
      </c>
      <c r="H42" s="44" t="s">
        <v>25</v>
      </c>
      <c r="I42" s="26">
        <v>51.84</v>
      </c>
      <c r="J42" s="26">
        <v>70</v>
      </c>
      <c r="K42" s="26">
        <v>30</v>
      </c>
      <c r="L42" s="34">
        <f t="shared" si="8"/>
        <v>40</v>
      </c>
    </row>
    <row r="43" spans="2:12" ht="12.75" customHeight="1" thickBot="1" x14ac:dyDescent="0.35">
      <c r="B43" s="44" t="s">
        <v>26</v>
      </c>
      <c r="C43" s="35">
        <v>3453.15</v>
      </c>
      <c r="D43" s="35">
        <v>65</v>
      </c>
      <c r="E43" s="35">
        <v>33</v>
      </c>
      <c r="F43" s="36">
        <f t="shared" si="7"/>
        <v>32</v>
      </c>
      <c r="H43" s="44" t="s">
        <v>26</v>
      </c>
      <c r="I43" s="35">
        <v>970.14</v>
      </c>
      <c r="J43" s="35">
        <v>60</v>
      </c>
      <c r="K43" s="35">
        <v>29</v>
      </c>
      <c r="L43" s="36">
        <f t="shared" si="8"/>
        <v>31</v>
      </c>
    </row>
    <row r="44" spans="2:12" ht="12.75" customHeight="1" x14ac:dyDescent="0.3">
      <c r="D44" s="29">
        <f>SUM(D34:D43)</f>
        <v>639</v>
      </c>
      <c r="E44" s="29">
        <f>SUM(E34:E43)</f>
        <v>313</v>
      </c>
      <c r="F44" s="29">
        <f>SUM(F34:F43)</f>
        <v>326</v>
      </c>
      <c r="J44" s="29">
        <f t="shared" ref="J44:L44" si="9">SUM(J34:J43)</f>
        <v>643</v>
      </c>
      <c r="K44" s="29">
        <f t="shared" si="9"/>
        <v>297</v>
      </c>
      <c r="L44" s="29">
        <f t="shared" si="9"/>
        <v>346</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37">
        <v>196.6</v>
      </c>
      <c r="D48" s="37">
        <v>60</v>
      </c>
      <c r="E48" s="37">
        <v>31</v>
      </c>
      <c r="F48" s="38">
        <f t="shared" ref="F48:F57" si="10">D48-E48</f>
        <v>29</v>
      </c>
      <c r="H48" s="44" t="s">
        <v>9</v>
      </c>
      <c r="I48" s="37">
        <v>2063.19</v>
      </c>
      <c r="J48" s="37">
        <v>64</v>
      </c>
      <c r="K48" s="37">
        <v>34</v>
      </c>
      <c r="L48" s="38">
        <f t="shared" ref="L48:L57" si="11">J48-K48</f>
        <v>30</v>
      </c>
    </row>
    <row r="49" spans="2:12" ht="12.75" customHeight="1" thickBot="1" x14ac:dyDescent="0.35">
      <c r="B49" s="44" t="s">
        <v>19</v>
      </c>
      <c r="C49" s="37">
        <v>1002.3</v>
      </c>
      <c r="D49" s="37">
        <v>60</v>
      </c>
      <c r="E49" s="37">
        <v>33</v>
      </c>
      <c r="F49" s="38">
        <f t="shared" si="10"/>
        <v>27</v>
      </c>
      <c r="H49" s="44" t="s">
        <v>19</v>
      </c>
      <c r="I49" s="37">
        <v>1694.64</v>
      </c>
      <c r="J49" s="37">
        <v>58</v>
      </c>
      <c r="K49" s="37">
        <v>30</v>
      </c>
      <c r="L49" s="38">
        <f t="shared" si="11"/>
        <v>28</v>
      </c>
    </row>
    <row r="50" spans="2:12" ht="12.75" customHeight="1" thickBot="1" x14ac:dyDescent="0.35">
      <c r="B50" s="44" t="s">
        <v>20</v>
      </c>
      <c r="C50" s="37">
        <v>1096</v>
      </c>
      <c r="D50" s="37">
        <v>65</v>
      </c>
      <c r="E50" s="37">
        <v>33</v>
      </c>
      <c r="F50" s="38">
        <f t="shared" si="10"/>
        <v>32</v>
      </c>
      <c r="H50" s="44" t="s">
        <v>20</v>
      </c>
      <c r="I50" s="37">
        <v>441.44</v>
      </c>
      <c r="J50" s="37">
        <v>67</v>
      </c>
      <c r="K50" s="37">
        <v>25</v>
      </c>
      <c r="L50" s="38">
        <f t="shared" si="11"/>
        <v>42</v>
      </c>
    </row>
    <row r="51" spans="2:12" ht="12.75" customHeight="1" thickBot="1" x14ac:dyDescent="0.35">
      <c r="B51" s="44" t="s">
        <v>21</v>
      </c>
      <c r="C51" s="37">
        <v>-1646.04</v>
      </c>
      <c r="D51" s="37">
        <v>67</v>
      </c>
      <c r="E51" s="37">
        <v>30</v>
      </c>
      <c r="F51" s="38">
        <f t="shared" si="10"/>
        <v>37</v>
      </c>
      <c r="H51" s="44" t="s">
        <v>21</v>
      </c>
      <c r="I51" s="37">
        <v>1256.1400000000001</v>
      </c>
      <c r="J51" s="37">
        <v>65</v>
      </c>
      <c r="K51" s="37">
        <v>37</v>
      </c>
      <c r="L51" s="38">
        <f t="shared" si="11"/>
        <v>28</v>
      </c>
    </row>
    <row r="52" spans="2:12" ht="12.75" customHeight="1" thickBot="1" x14ac:dyDescent="0.35">
      <c r="B52" s="44" t="s">
        <v>22</v>
      </c>
      <c r="C52" s="37">
        <v>758.3</v>
      </c>
      <c r="D52" s="37">
        <v>66</v>
      </c>
      <c r="E52" s="37">
        <v>33</v>
      </c>
      <c r="F52" s="38">
        <f t="shared" si="10"/>
        <v>33</v>
      </c>
      <c r="H52" s="44" t="s">
        <v>22</v>
      </c>
      <c r="I52" s="37">
        <v>1462.14</v>
      </c>
      <c r="J52" s="37">
        <v>65</v>
      </c>
      <c r="K52" s="37">
        <v>35</v>
      </c>
      <c r="L52" s="38">
        <f t="shared" si="11"/>
        <v>30</v>
      </c>
    </row>
    <row r="53" spans="2:12" ht="12.75" customHeight="1" thickBot="1" x14ac:dyDescent="0.35">
      <c r="B53" s="44" t="s">
        <v>23</v>
      </c>
      <c r="C53" s="37">
        <v>-4.1900000000000004</v>
      </c>
      <c r="D53" s="37">
        <v>71</v>
      </c>
      <c r="E53" s="37">
        <v>30</v>
      </c>
      <c r="F53" s="38">
        <f t="shared" si="10"/>
        <v>41</v>
      </c>
      <c r="H53" s="44" t="s">
        <v>23</v>
      </c>
      <c r="I53" s="37">
        <v>-645.15</v>
      </c>
      <c r="J53" s="37">
        <v>72</v>
      </c>
      <c r="K53" s="37">
        <v>32</v>
      </c>
      <c r="L53" s="38">
        <f t="shared" si="11"/>
        <v>40</v>
      </c>
    </row>
    <row r="54" spans="2:12" ht="12.75" customHeight="1" thickBot="1" x14ac:dyDescent="0.35">
      <c r="B54" s="44" t="s">
        <v>24</v>
      </c>
      <c r="C54" s="37">
        <v>187.8</v>
      </c>
      <c r="D54" s="37">
        <v>83</v>
      </c>
      <c r="E54" s="37">
        <v>36</v>
      </c>
      <c r="F54" s="38">
        <f t="shared" si="10"/>
        <v>47</v>
      </c>
      <c r="H54" s="44" t="s">
        <v>24</v>
      </c>
      <c r="I54" s="37">
        <v>-789.35</v>
      </c>
      <c r="J54" s="37">
        <v>76</v>
      </c>
      <c r="K54" s="37">
        <v>31</v>
      </c>
      <c r="L54" s="38">
        <f t="shared" si="11"/>
        <v>45</v>
      </c>
    </row>
    <row r="55" spans="2:12" ht="12.75" customHeight="1" thickBot="1" x14ac:dyDescent="0.35">
      <c r="B55" s="44" t="s">
        <v>10</v>
      </c>
      <c r="C55" s="37">
        <v>449.65</v>
      </c>
      <c r="D55" s="37">
        <v>72</v>
      </c>
      <c r="E55" s="37">
        <v>26</v>
      </c>
      <c r="F55" s="38">
        <f t="shared" si="10"/>
        <v>46</v>
      </c>
      <c r="H55" s="44" t="s">
        <v>10</v>
      </c>
      <c r="I55" s="37">
        <v>1301.5899999999999</v>
      </c>
      <c r="J55" s="37">
        <v>69</v>
      </c>
      <c r="K55" s="37">
        <v>30</v>
      </c>
      <c r="L55" s="38">
        <f t="shared" si="11"/>
        <v>39</v>
      </c>
    </row>
    <row r="56" spans="2:12" ht="12.75" customHeight="1" thickBot="1" x14ac:dyDescent="0.35">
      <c r="B56" s="44" t="s">
        <v>25</v>
      </c>
      <c r="C56" s="37">
        <v>563.95000000000005</v>
      </c>
      <c r="D56" s="37">
        <v>68</v>
      </c>
      <c r="E56" s="37">
        <v>31</v>
      </c>
      <c r="F56" s="38">
        <f t="shared" si="10"/>
        <v>37</v>
      </c>
      <c r="H56" s="44" t="s">
        <v>25</v>
      </c>
      <c r="I56" s="37">
        <v>2199.7399999999998</v>
      </c>
      <c r="J56" s="37">
        <v>64</v>
      </c>
      <c r="K56" s="37">
        <v>32</v>
      </c>
      <c r="L56" s="38">
        <f t="shared" si="11"/>
        <v>32</v>
      </c>
    </row>
    <row r="57" spans="2:12" ht="12.75" customHeight="1" thickBot="1" x14ac:dyDescent="0.35">
      <c r="B57" s="44" t="s">
        <v>26</v>
      </c>
      <c r="C57" s="39">
        <v>798.1</v>
      </c>
      <c r="D57" s="39">
        <v>65</v>
      </c>
      <c r="E57" s="39">
        <v>31</v>
      </c>
      <c r="F57" s="40">
        <f t="shared" si="10"/>
        <v>34</v>
      </c>
      <c r="H57" s="44" t="s">
        <v>26</v>
      </c>
      <c r="I57" s="39">
        <v>1938.84</v>
      </c>
      <c r="J57" s="39">
        <v>62</v>
      </c>
      <c r="K57" s="39">
        <v>31</v>
      </c>
      <c r="L57" s="40">
        <f t="shared" si="11"/>
        <v>31</v>
      </c>
    </row>
    <row r="58" spans="2:12" ht="12.75" customHeight="1" x14ac:dyDescent="0.3">
      <c r="D58" s="29">
        <f>SUM(D48:D57)</f>
        <v>677</v>
      </c>
      <c r="E58" s="29">
        <f>SUM(E48:E57)</f>
        <v>314</v>
      </c>
      <c r="F58" s="29">
        <f>SUM(F48:F57)</f>
        <v>363</v>
      </c>
      <c r="J58" s="29">
        <f t="shared" ref="J58:L58" si="12">SUM(J48:J57)</f>
        <v>662</v>
      </c>
      <c r="K58" s="29">
        <f t="shared" si="12"/>
        <v>317</v>
      </c>
      <c r="L58" s="29">
        <f t="shared" si="12"/>
        <v>345</v>
      </c>
    </row>
    <row r="59" spans="2:12" ht="12.75" customHeight="1" x14ac:dyDescent="0.3">
      <c r="C59" s="30" t="s">
        <v>14</v>
      </c>
      <c r="D59" s="30">
        <f>D58+D44+D30+D16</f>
        <v>2623</v>
      </c>
      <c r="E59" s="30">
        <f t="shared" ref="E59:F59" si="13">E58+E44+E30+E16</f>
        <v>1244</v>
      </c>
      <c r="F59" s="30">
        <f t="shared" si="13"/>
        <v>1379</v>
      </c>
      <c r="I59" s="30" t="s">
        <v>15</v>
      </c>
      <c r="J59" s="30">
        <f t="shared" ref="J59:L59" si="14">J58+J44+J30+J16</f>
        <v>2630</v>
      </c>
      <c r="K59" s="30">
        <f t="shared" si="14"/>
        <v>1260</v>
      </c>
      <c r="L59" s="30">
        <f t="shared" si="14"/>
        <v>1359</v>
      </c>
    </row>
    <row r="60" spans="2:12" ht="12.75" customHeight="1" x14ac:dyDescent="0.3"/>
    <row r="61" spans="2:12" ht="12.75" customHeight="1" x14ac:dyDescent="0.3">
      <c r="C61" s="31" t="s">
        <v>16</v>
      </c>
      <c r="D61" s="31">
        <f>D59+J59</f>
        <v>5253</v>
      </c>
      <c r="E61" s="31">
        <f t="shared" ref="E61" si="15">E59+K59</f>
        <v>2504</v>
      </c>
      <c r="F61" s="31">
        <f>F59+L59</f>
        <v>2738</v>
      </c>
    </row>
    <row r="62" spans="2:12" ht="12.75" customHeight="1" x14ac:dyDescent="0.3">
      <c r="C62" s="32" t="s">
        <v>17</v>
      </c>
      <c r="D62" s="33">
        <f>E61/D61</f>
        <v>0.47667999238530362</v>
      </c>
    </row>
    <row r="63" spans="2:12" ht="12.75" customHeight="1" x14ac:dyDescent="0.3">
      <c r="C63" s="32" t="s">
        <v>18</v>
      </c>
      <c r="D63" s="33">
        <f>1-D62</f>
        <v>0.52332000761469644</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05D6-1ECC-4EC7-B61D-1114FB2ACAA1}">
  <dimension ref="A1:L1000"/>
  <sheetViews>
    <sheetView topLeftCell="A34" workbookViewId="0">
      <selection activeCell="B34" sqref="B34"/>
    </sheetView>
  </sheetViews>
  <sheetFormatPr defaultColWidth="12.6640625" defaultRowHeight="15.6" x14ac:dyDescent="0.3"/>
  <cols>
    <col min="1" max="1" width="4.6640625" style="25" customWidth="1"/>
    <col min="2" max="2" width="12.6640625" style="25"/>
    <col min="3" max="3" width="17.88671875" style="25" customWidth="1"/>
    <col min="4" max="4" width="31.88671875" style="25" customWidth="1"/>
    <col min="5" max="5" width="21.33203125" style="25" customWidth="1"/>
    <col min="6" max="6" width="22.88671875" style="25" customWidth="1"/>
    <col min="7" max="8" width="12.6640625" style="25"/>
    <col min="9" max="9" width="17.88671875" style="25" customWidth="1"/>
    <col min="10" max="10" width="32" style="25" customWidth="1"/>
    <col min="11" max="11" width="21" style="25" customWidth="1"/>
    <col min="12" max="12" width="24.44140625" style="25" customWidth="1"/>
    <col min="13" max="16384" width="12.6640625" style="25"/>
  </cols>
  <sheetData>
    <row r="1" spans="1:12" ht="15.75" customHeight="1" x14ac:dyDescent="0.3">
      <c r="A1" s="21"/>
      <c r="B1" s="62" t="s">
        <v>0</v>
      </c>
      <c r="C1" s="63"/>
      <c r="D1" s="63"/>
      <c r="E1" s="63"/>
      <c r="F1" s="63"/>
      <c r="G1" s="63"/>
      <c r="H1" s="63"/>
      <c r="I1" s="63"/>
      <c r="J1" s="63"/>
      <c r="K1" s="63"/>
      <c r="L1" s="63"/>
    </row>
    <row r="2" spans="1:12" ht="15.75" customHeight="1" x14ac:dyDescent="0.3">
      <c r="A2" s="21"/>
      <c r="B2" s="21"/>
      <c r="C2" s="26"/>
      <c r="D2" s="26"/>
      <c r="E2" s="26"/>
      <c r="F2" s="26"/>
      <c r="H2" s="21"/>
    </row>
    <row r="3" spans="1:12" ht="15.75" customHeight="1" x14ac:dyDescent="0.3">
      <c r="A3" s="21"/>
      <c r="B3" s="64" t="s">
        <v>1</v>
      </c>
      <c r="C3" s="63"/>
      <c r="D3" s="63"/>
      <c r="E3" s="63"/>
      <c r="F3" s="63"/>
      <c r="H3" s="64" t="s">
        <v>2</v>
      </c>
      <c r="I3" s="63"/>
      <c r="J3" s="63"/>
      <c r="K3" s="63"/>
      <c r="L3" s="63"/>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26">
        <v>474.7</v>
      </c>
      <c r="D6" s="26">
        <v>60</v>
      </c>
      <c r="E6" s="26">
        <v>30</v>
      </c>
      <c r="F6" s="34">
        <f t="shared" ref="F6:F15" si="0">D6-E6</f>
        <v>30</v>
      </c>
      <c r="H6" s="44" t="s">
        <v>9</v>
      </c>
      <c r="I6" s="26">
        <v>-1567</v>
      </c>
      <c r="J6" s="26">
        <v>63</v>
      </c>
      <c r="K6" s="26">
        <v>25</v>
      </c>
      <c r="L6" s="34">
        <v>19</v>
      </c>
    </row>
    <row r="7" spans="1:12" ht="15.75" customHeight="1" thickBot="1" x14ac:dyDescent="0.35">
      <c r="A7" s="20"/>
      <c r="B7" s="44" t="s">
        <v>19</v>
      </c>
      <c r="C7" s="26">
        <v>393.75</v>
      </c>
      <c r="D7" s="26">
        <v>66</v>
      </c>
      <c r="E7" s="26">
        <v>37</v>
      </c>
      <c r="F7" s="34">
        <f t="shared" si="0"/>
        <v>29</v>
      </c>
      <c r="H7" s="44" t="s">
        <v>19</v>
      </c>
      <c r="I7" s="26">
        <v>-1073.8</v>
      </c>
      <c r="J7" s="26">
        <v>67</v>
      </c>
      <c r="K7" s="26">
        <v>36</v>
      </c>
      <c r="L7" s="34">
        <f t="shared" ref="L7:L15" si="1">J7-K7</f>
        <v>31</v>
      </c>
    </row>
    <row r="8" spans="1:12" ht="15.75" customHeight="1" thickBot="1" x14ac:dyDescent="0.35">
      <c r="A8" s="7"/>
      <c r="B8" s="44" t="s">
        <v>20</v>
      </c>
      <c r="C8" s="26">
        <v>651</v>
      </c>
      <c r="D8" s="26">
        <v>62</v>
      </c>
      <c r="E8" s="26">
        <v>31</v>
      </c>
      <c r="F8" s="34">
        <f t="shared" si="0"/>
        <v>31</v>
      </c>
      <c r="H8" s="44" t="s">
        <v>20</v>
      </c>
      <c r="I8" s="26">
        <v>-1283.1500000000001</v>
      </c>
      <c r="J8" s="26">
        <v>74</v>
      </c>
      <c r="K8" s="26">
        <v>30</v>
      </c>
      <c r="L8" s="34">
        <f t="shared" si="1"/>
        <v>44</v>
      </c>
    </row>
    <row r="9" spans="1:12" ht="15.75" customHeight="1" thickBot="1" x14ac:dyDescent="0.35">
      <c r="A9" s="20"/>
      <c r="B9" s="44" t="s">
        <v>21</v>
      </c>
      <c r="C9" s="26">
        <v>3410.05</v>
      </c>
      <c r="D9" s="26">
        <v>65</v>
      </c>
      <c r="E9" s="26">
        <v>39</v>
      </c>
      <c r="F9" s="34">
        <f t="shared" si="0"/>
        <v>26</v>
      </c>
      <c r="H9" s="44" t="s">
        <v>21</v>
      </c>
      <c r="I9" s="26">
        <v>-492.95</v>
      </c>
      <c r="J9" s="26">
        <v>63</v>
      </c>
      <c r="K9" s="26">
        <v>29</v>
      </c>
      <c r="L9" s="34">
        <f t="shared" si="1"/>
        <v>34</v>
      </c>
    </row>
    <row r="10" spans="1:12" ht="15.75" customHeight="1" thickBot="1" x14ac:dyDescent="0.35">
      <c r="A10" s="7"/>
      <c r="B10" s="44" t="s">
        <v>22</v>
      </c>
      <c r="C10" s="26">
        <v>2504.9</v>
      </c>
      <c r="D10" s="26">
        <v>68</v>
      </c>
      <c r="E10" s="26">
        <v>39</v>
      </c>
      <c r="F10" s="34">
        <f t="shared" si="0"/>
        <v>29</v>
      </c>
      <c r="H10" s="44" t="s">
        <v>22</v>
      </c>
      <c r="I10" s="26">
        <v>615.49</v>
      </c>
      <c r="J10" s="26">
        <v>75</v>
      </c>
      <c r="K10" s="26">
        <v>38</v>
      </c>
      <c r="L10" s="34">
        <f t="shared" si="1"/>
        <v>37</v>
      </c>
    </row>
    <row r="11" spans="1:12" ht="15.75" customHeight="1" thickBot="1" x14ac:dyDescent="0.35">
      <c r="A11" s="7"/>
      <c r="B11" s="44" t="s">
        <v>23</v>
      </c>
      <c r="C11" s="26">
        <v>-757.64</v>
      </c>
      <c r="D11" s="26">
        <v>68</v>
      </c>
      <c r="E11" s="26">
        <v>28</v>
      </c>
      <c r="F11" s="34">
        <f t="shared" si="0"/>
        <v>40</v>
      </c>
      <c r="H11" s="44" t="s">
        <v>23</v>
      </c>
      <c r="I11" s="26">
        <v>2096.09</v>
      </c>
      <c r="J11" s="26">
        <v>80</v>
      </c>
      <c r="K11" s="26">
        <v>41</v>
      </c>
      <c r="L11" s="34">
        <f t="shared" si="1"/>
        <v>39</v>
      </c>
    </row>
    <row r="12" spans="1:12" ht="15.75" customHeight="1" thickBot="1" x14ac:dyDescent="0.35">
      <c r="A12" s="20"/>
      <c r="B12" s="44" t="s">
        <v>24</v>
      </c>
      <c r="C12" s="26">
        <v>1498.55</v>
      </c>
      <c r="D12" s="26">
        <v>70</v>
      </c>
      <c r="E12" s="26">
        <v>34</v>
      </c>
      <c r="F12" s="34">
        <f t="shared" si="0"/>
        <v>36</v>
      </c>
      <c r="H12" s="44" t="s">
        <v>24</v>
      </c>
      <c r="I12" s="26">
        <v>-9.0500000000000007</v>
      </c>
      <c r="J12" s="26">
        <v>80</v>
      </c>
      <c r="K12" s="26">
        <v>33</v>
      </c>
      <c r="L12" s="34">
        <f t="shared" si="1"/>
        <v>47</v>
      </c>
    </row>
    <row r="13" spans="1:12" ht="15.75" customHeight="1" thickBot="1" x14ac:dyDescent="0.35">
      <c r="A13" s="7"/>
      <c r="B13" s="44" t="s">
        <v>10</v>
      </c>
      <c r="C13" s="26">
        <v>1400</v>
      </c>
      <c r="D13" s="26">
        <v>66</v>
      </c>
      <c r="E13" s="26">
        <v>34</v>
      </c>
      <c r="F13" s="34">
        <f t="shared" si="0"/>
        <v>32</v>
      </c>
      <c r="H13" s="44" t="s">
        <v>10</v>
      </c>
      <c r="I13" s="26">
        <v>830.54</v>
      </c>
      <c r="J13" s="26">
        <v>86</v>
      </c>
      <c r="K13" s="26">
        <v>40</v>
      </c>
      <c r="L13" s="34">
        <f t="shared" si="1"/>
        <v>46</v>
      </c>
    </row>
    <row r="14" spans="1:12" ht="15.75" customHeight="1" thickBot="1" x14ac:dyDescent="0.35">
      <c r="A14" s="20"/>
      <c r="B14" s="44" t="s">
        <v>25</v>
      </c>
      <c r="C14" s="26">
        <v>255.85</v>
      </c>
      <c r="D14" s="26">
        <v>70</v>
      </c>
      <c r="E14" s="26">
        <v>31</v>
      </c>
      <c r="F14" s="34">
        <f t="shared" si="0"/>
        <v>39</v>
      </c>
      <c r="H14" s="44" t="s">
        <v>25</v>
      </c>
      <c r="I14" s="26">
        <v>-1547.3</v>
      </c>
      <c r="J14" s="26">
        <v>79</v>
      </c>
      <c r="K14" s="26">
        <v>30</v>
      </c>
      <c r="L14" s="34">
        <f t="shared" si="1"/>
        <v>49</v>
      </c>
    </row>
    <row r="15" spans="1:12" ht="15.75" customHeight="1" thickBot="1" x14ac:dyDescent="0.35">
      <c r="A15" s="7"/>
      <c r="B15" s="44" t="s">
        <v>26</v>
      </c>
      <c r="C15" s="35">
        <v>4726.88</v>
      </c>
      <c r="D15" s="35">
        <v>82</v>
      </c>
      <c r="E15" s="35">
        <v>40</v>
      </c>
      <c r="F15" s="36">
        <f t="shared" si="0"/>
        <v>42</v>
      </c>
      <c r="H15" s="44" t="s">
        <v>26</v>
      </c>
      <c r="I15" s="35">
        <v>-4590.1000000000004</v>
      </c>
      <c r="J15" s="35">
        <v>78</v>
      </c>
      <c r="K15" s="35">
        <v>27</v>
      </c>
      <c r="L15" s="36">
        <f t="shared" si="1"/>
        <v>51</v>
      </c>
    </row>
    <row r="16" spans="1:12" ht="12.75" customHeight="1" x14ac:dyDescent="0.3">
      <c r="D16" s="29">
        <f>SUM(D6:D15)</f>
        <v>677</v>
      </c>
      <c r="E16" s="29">
        <f t="shared" ref="E16:F16" si="2">SUM(E6:E15)</f>
        <v>343</v>
      </c>
      <c r="F16" s="29">
        <f t="shared" si="2"/>
        <v>334</v>
      </c>
      <c r="J16" s="29">
        <f t="shared" ref="J16:L16" si="3">SUM(J6:J15)</f>
        <v>745</v>
      </c>
      <c r="K16" s="29">
        <f t="shared" si="3"/>
        <v>329</v>
      </c>
      <c r="L16" s="29">
        <f t="shared" si="3"/>
        <v>397</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26">
        <v>-3095.39</v>
      </c>
      <c r="D20" s="26">
        <v>67</v>
      </c>
      <c r="E20" s="26">
        <v>20</v>
      </c>
      <c r="F20" s="34">
        <f t="shared" ref="F20:F29" si="4">D20-E20</f>
        <v>47</v>
      </c>
      <c r="H20" s="44" t="s">
        <v>9</v>
      </c>
      <c r="I20" s="26">
        <v>92.24</v>
      </c>
      <c r="J20" s="26">
        <v>57</v>
      </c>
      <c r="K20" s="26">
        <v>31</v>
      </c>
      <c r="L20" s="34">
        <f t="shared" ref="L20:L29" si="5">J20-K20</f>
        <v>26</v>
      </c>
    </row>
    <row r="21" spans="2:12" ht="15.75" customHeight="1" thickBot="1" x14ac:dyDescent="0.35">
      <c r="B21" s="44" t="s">
        <v>19</v>
      </c>
      <c r="C21" s="26">
        <v>-1743.54</v>
      </c>
      <c r="D21" s="26">
        <v>72</v>
      </c>
      <c r="E21" s="26">
        <v>31</v>
      </c>
      <c r="F21" s="34">
        <f t="shared" si="4"/>
        <v>41</v>
      </c>
      <c r="H21" s="44" t="s">
        <v>19</v>
      </c>
      <c r="I21" s="26">
        <v>493.94</v>
      </c>
      <c r="J21" s="26">
        <v>63</v>
      </c>
      <c r="K21" s="26">
        <v>32</v>
      </c>
      <c r="L21" s="34">
        <f t="shared" si="5"/>
        <v>31</v>
      </c>
    </row>
    <row r="22" spans="2:12" ht="15.75" customHeight="1" thickBot="1" x14ac:dyDescent="0.35">
      <c r="B22" s="44" t="s">
        <v>20</v>
      </c>
      <c r="C22" s="26">
        <v>-1281.8399999999999</v>
      </c>
      <c r="D22" s="26">
        <v>72</v>
      </c>
      <c r="E22" s="26">
        <v>29</v>
      </c>
      <c r="F22" s="34">
        <f t="shared" si="4"/>
        <v>43</v>
      </c>
      <c r="H22" s="44" t="s">
        <v>20</v>
      </c>
      <c r="I22" s="26">
        <v>582.04</v>
      </c>
      <c r="J22" s="26">
        <v>58</v>
      </c>
      <c r="K22" s="26">
        <v>33</v>
      </c>
      <c r="L22" s="34">
        <f t="shared" si="5"/>
        <v>25</v>
      </c>
    </row>
    <row r="23" spans="2:12" ht="15.75" customHeight="1" thickBot="1" x14ac:dyDescent="0.35">
      <c r="B23" s="44" t="s">
        <v>21</v>
      </c>
      <c r="C23" s="26">
        <v>-746.36</v>
      </c>
      <c r="D23" s="26">
        <v>69</v>
      </c>
      <c r="E23" s="26">
        <v>26</v>
      </c>
      <c r="F23" s="34">
        <f t="shared" si="4"/>
        <v>43</v>
      </c>
      <c r="H23" s="44" t="s">
        <v>21</v>
      </c>
      <c r="I23" s="26">
        <v>541.89</v>
      </c>
      <c r="J23" s="26">
        <v>62</v>
      </c>
      <c r="K23" s="26">
        <v>31</v>
      </c>
      <c r="L23" s="34">
        <f t="shared" si="5"/>
        <v>31</v>
      </c>
    </row>
    <row r="24" spans="2:12" ht="15.75" customHeight="1" thickBot="1" x14ac:dyDescent="0.35">
      <c r="B24" s="44" t="s">
        <v>22</v>
      </c>
      <c r="C24" s="26">
        <v>-1227.54</v>
      </c>
      <c r="D24" s="26">
        <v>72</v>
      </c>
      <c r="E24" s="26">
        <v>31</v>
      </c>
      <c r="F24" s="34">
        <f t="shared" si="4"/>
        <v>41</v>
      </c>
      <c r="H24" s="44" t="s">
        <v>22</v>
      </c>
      <c r="I24" s="26">
        <v>72.739999999999995</v>
      </c>
      <c r="J24" s="26">
        <v>63</v>
      </c>
      <c r="K24" s="26">
        <v>27</v>
      </c>
      <c r="L24" s="34">
        <f t="shared" si="5"/>
        <v>36</v>
      </c>
    </row>
    <row r="25" spans="2:12" ht="15.75" customHeight="1" thickBot="1" x14ac:dyDescent="0.35">
      <c r="B25" s="44" t="s">
        <v>23</v>
      </c>
      <c r="C25" s="26">
        <v>-219.29</v>
      </c>
      <c r="D25" s="26">
        <v>76</v>
      </c>
      <c r="E25" s="26">
        <v>34</v>
      </c>
      <c r="F25" s="34">
        <f t="shared" si="4"/>
        <v>42</v>
      </c>
      <c r="H25" s="44" t="s">
        <v>23</v>
      </c>
      <c r="I25" s="26">
        <v>846.64</v>
      </c>
      <c r="J25" s="26">
        <v>32</v>
      </c>
      <c r="K25" s="26">
        <v>71</v>
      </c>
      <c r="L25" s="34">
        <f t="shared" si="5"/>
        <v>-39</v>
      </c>
    </row>
    <row r="26" spans="2:12" ht="15.75" customHeight="1" thickBot="1" x14ac:dyDescent="0.35">
      <c r="B26" s="44" t="s">
        <v>24</v>
      </c>
      <c r="C26" s="26">
        <v>-2917.84</v>
      </c>
      <c r="D26" s="26">
        <v>77</v>
      </c>
      <c r="E26" s="26">
        <v>29</v>
      </c>
      <c r="F26" s="34">
        <f t="shared" si="4"/>
        <v>48</v>
      </c>
      <c r="H26" s="44" t="s">
        <v>24</v>
      </c>
      <c r="I26" s="26">
        <v>-343.8</v>
      </c>
      <c r="J26" s="26">
        <v>61</v>
      </c>
      <c r="K26" s="26">
        <v>28</v>
      </c>
      <c r="L26" s="34">
        <f t="shared" si="5"/>
        <v>33</v>
      </c>
    </row>
    <row r="27" spans="2:12" ht="12.75" customHeight="1" thickBot="1" x14ac:dyDescent="0.35">
      <c r="B27" s="44" t="s">
        <v>10</v>
      </c>
      <c r="C27" s="26">
        <v>286.60000000000002</v>
      </c>
      <c r="D27" s="26">
        <v>84</v>
      </c>
      <c r="E27" s="26">
        <v>36</v>
      </c>
      <c r="F27" s="34">
        <f t="shared" si="4"/>
        <v>48</v>
      </c>
      <c r="H27" s="44" t="s">
        <v>10</v>
      </c>
      <c r="I27" s="26">
        <v>403.44</v>
      </c>
      <c r="J27" s="26">
        <v>67</v>
      </c>
      <c r="K27" s="26">
        <v>38</v>
      </c>
      <c r="L27" s="34">
        <f t="shared" si="5"/>
        <v>29</v>
      </c>
    </row>
    <row r="28" spans="2:12" ht="12.75" customHeight="1" thickBot="1" x14ac:dyDescent="0.35">
      <c r="B28" s="44" t="s">
        <v>25</v>
      </c>
      <c r="C28" s="26">
        <v>-2045.34</v>
      </c>
      <c r="D28" s="26">
        <v>72</v>
      </c>
      <c r="E28" s="26">
        <v>23</v>
      </c>
      <c r="F28" s="34">
        <f t="shared" si="4"/>
        <v>49</v>
      </c>
      <c r="H28" s="44" t="s">
        <v>25</v>
      </c>
      <c r="I28" s="26">
        <v>469.54</v>
      </c>
      <c r="J28" s="26">
        <v>78</v>
      </c>
      <c r="K28" s="26">
        <v>35</v>
      </c>
      <c r="L28" s="34">
        <f t="shared" si="5"/>
        <v>43</v>
      </c>
    </row>
    <row r="29" spans="2:12" ht="12.75" customHeight="1" thickBot="1" x14ac:dyDescent="0.35">
      <c r="B29" s="44" t="s">
        <v>26</v>
      </c>
      <c r="C29" s="35">
        <v>-676.39</v>
      </c>
      <c r="D29" s="35">
        <v>85</v>
      </c>
      <c r="E29" s="35">
        <v>32</v>
      </c>
      <c r="F29" s="36">
        <f t="shared" si="4"/>
        <v>53</v>
      </c>
      <c r="H29" s="44" t="s">
        <v>26</v>
      </c>
      <c r="I29" s="26">
        <v>-1696.5</v>
      </c>
      <c r="J29" s="35">
        <v>77</v>
      </c>
      <c r="K29" s="35">
        <v>27</v>
      </c>
      <c r="L29" s="36">
        <f t="shared" si="5"/>
        <v>50</v>
      </c>
    </row>
    <row r="30" spans="2:12" ht="12.75" customHeight="1" x14ac:dyDescent="0.3">
      <c r="D30" s="29">
        <f>SUM(D20:D29)</f>
        <v>746</v>
      </c>
      <c r="E30" s="29">
        <f>SUM(E20:E29)</f>
        <v>291</v>
      </c>
      <c r="F30" s="29">
        <f>SUM(F20:F29)</f>
        <v>455</v>
      </c>
      <c r="J30" s="29">
        <f t="shared" ref="J30:L30" si="6">SUM(J20:J29)</f>
        <v>618</v>
      </c>
      <c r="K30" s="29">
        <f t="shared" si="6"/>
        <v>353</v>
      </c>
      <c r="L30" s="29">
        <f t="shared" si="6"/>
        <v>265</v>
      </c>
    </row>
    <row r="31" spans="2:12" ht="12.75" customHeight="1" x14ac:dyDescent="0.3"/>
    <row r="32" spans="2:12" ht="12.75" customHeight="1" x14ac:dyDescent="0.3">
      <c r="B32" s="22" t="s">
        <v>12</v>
      </c>
      <c r="C32" s="27"/>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26">
        <v>-234.99</v>
      </c>
      <c r="D34" s="26">
        <v>55</v>
      </c>
      <c r="E34" s="26">
        <v>28</v>
      </c>
      <c r="F34" s="34">
        <f t="shared" ref="F34:F43" si="7">D34-E34</f>
        <v>27</v>
      </c>
      <c r="H34" s="44" t="s">
        <v>9</v>
      </c>
      <c r="I34" s="26">
        <v>-1204.1500000000001</v>
      </c>
      <c r="J34" s="26">
        <v>61</v>
      </c>
      <c r="K34" s="26">
        <v>28</v>
      </c>
      <c r="L34" s="34">
        <f t="shared" ref="L34:L43" si="8">J34-K34</f>
        <v>33</v>
      </c>
    </row>
    <row r="35" spans="2:12" ht="12.75" customHeight="1" thickBot="1" x14ac:dyDescent="0.35">
      <c r="B35" s="44" t="s">
        <v>19</v>
      </c>
      <c r="C35" s="26">
        <v>-1253.54</v>
      </c>
      <c r="D35" s="26">
        <v>57</v>
      </c>
      <c r="E35" s="26">
        <v>28</v>
      </c>
      <c r="F35" s="34">
        <f t="shared" si="7"/>
        <v>29</v>
      </c>
      <c r="H35" s="44" t="s">
        <v>19</v>
      </c>
      <c r="I35" s="26">
        <v>-1069.05</v>
      </c>
      <c r="J35" s="26">
        <v>71</v>
      </c>
      <c r="K35" s="26">
        <v>31</v>
      </c>
      <c r="L35" s="34">
        <f t="shared" si="8"/>
        <v>40</v>
      </c>
    </row>
    <row r="36" spans="2:12" ht="12.75" customHeight="1" thickBot="1" x14ac:dyDescent="0.35">
      <c r="B36" s="44" t="s">
        <v>20</v>
      </c>
      <c r="C36" s="26">
        <v>719.2</v>
      </c>
      <c r="D36" s="26">
        <v>57</v>
      </c>
      <c r="E36" s="26">
        <v>32</v>
      </c>
      <c r="F36" s="34">
        <f t="shared" si="7"/>
        <v>25</v>
      </c>
      <c r="H36" s="44" t="s">
        <v>20</v>
      </c>
      <c r="I36" s="26">
        <v>-525.4</v>
      </c>
      <c r="J36" s="26">
        <v>68</v>
      </c>
      <c r="K36" s="26">
        <v>35</v>
      </c>
      <c r="L36" s="34">
        <f t="shared" si="8"/>
        <v>33</v>
      </c>
    </row>
    <row r="37" spans="2:12" ht="12.75" customHeight="1" thickBot="1" x14ac:dyDescent="0.35">
      <c r="B37" s="44" t="s">
        <v>21</v>
      </c>
      <c r="C37" s="26">
        <v>467.09</v>
      </c>
      <c r="D37" s="26">
        <v>52</v>
      </c>
      <c r="E37" s="26">
        <v>28</v>
      </c>
      <c r="F37" s="34">
        <f t="shared" si="7"/>
        <v>24</v>
      </c>
      <c r="H37" s="44" t="s">
        <v>21</v>
      </c>
      <c r="I37" s="26">
        <v>-703</v>
      </c>
      <c r="J37" s="26">
        <v>57</v>
      </c>
      <c r="K37" s="26">
        <v>30</v>
      </c>
      <c r="L37" s="34">
        <f t="shared" si="8"/>
        <v>27</v>
      </c>
    </row>
    <row r="38" spans="2:12" ht="12.75" customHeight="1" thickBot="1" x14ac:dyDescent="0.35">
      <c r="B38" s="44" t="s">
        <v>22</v>
      </c>
      <c r="C38" s="26">
        <v>126.45</v>
      </c>
      <c r="D38" s="26">
        <v>61</v>
      </c>
      <c r="E38" s="26">
        <v>28</v>
      </c>
      <c r="F38" s="34">
        <f t="shared" si="7"/>
        <v>33</v>
      </c>
      <c r="H38" s="44" t="s">
        <v>22</v>
      </c>
      <c r="I38" s="26">
        <v>-551.59</v>
      </c>
      <c r="J38" s="26">
        <v>64</v>
      </c>
      <c r="K38" s="26">
        <v>28</v>
      </c>
      <c r="L38" s="34">
        <f t="shared" si="8"/>
        <v>36</v>
      </c>
    </row>
    <row r="39" spans="2:12" ht="12.75" customHeight="1" thickBot="1" x14ac:dyDescent="0.35">
      <c r="B39" s="44" t="s">
        <v>23</v>
      </c>
      <c r="C39" s="26">
        <v>-2627.59</v>
      </c>
      <c r="D39" s="26">
        <v>65</v>
      </c>
      <c r="E39" s="26">
        <v>25</v>
      </c>
      <c r="F39" s="34">
        <f t="shared" si="7"/>
        <v>40</v>
      </c>
      <c r="H39" s="44" t="s">
        <v>23</v>
      </c>
      <c r="I39" s="26">
        <v>1160.6400000000001</v>
      </c>
      <c r="J39" s="26">
        <v>64</v>
      </c>
      <c r="K39" s="26">
        <v>34</v>
      </c>
      <c r="L39" s="34">
        <f t="shared" si="8"/>
        <v>30</v>
      </c>
    </row>
    <row r="40" spans="2:12" ht="12.75" customHeight="1" thickBot="1" x14ac:dyDescent="0.35">
      <c r="B40" s="44" t="s">
        <v>24</v>
      </c>
      <c r="C40" s="26">
        <v>-1153.44</v>
      </c>
      <c r="D40" s="26">
        <v>56</v>
      </c>
      <c r="E40" s="26">
        <v>23</v>
      </c>
      <c r="F40" s="34">
        <f t="shared" si="7"/>
        <v>33</v>
      </c>
      <c r="H40" s="44" t="s">
        <v>24</v>
      </c>
      <c r="I40" s="26">
        <v>-2848.5</v>
      </c>
      <c r="J40" s="26">
        <v>72</v>
      </c>
      <c r="K40" s="26">
        <v>25</v>
      </c>
      <c r="L40" s="34">
        <f t="shared" si="8"/>
        <v>47</v>
      </c>
    </row>
    <row r="41" spans="2:12" ht="12.75" customHeight="1" thickBot="1" x14ac:dyDescent="0.35">
      <c r="B41" s="44" t="s">
        <v>10</v>
      </c>
      <c r="C41" s="26">
        <v>2377.4</v>
      </c>
      <c r="D41" s="26">
        <v>71</v>
      </c>
      <c r="E41" s="26">
        <v>39</v>
      </c>
      <c r="F41" s="34">
        <f t="shared" si="7"/>
        <v>32</v>
      </c>
      <c r="H41" s="44" t="s">
        <v>10</v>
      </c>
      <c r="I41" s="26">
        <v>725.89</v>
      </c>
      <c r="J41" s="26">
        <v>73</v>
      </c>
      <c r="K41" s="26">
        <v>34</v>
      </c>
      <c r="L41" s="34">
        <f t="shared" si="8"/>
        <v>39</v>
      </c>
    </row>
    <row r="42" spans="2:12" ht="12.75" customHeight="1" thickBot="1" x14ac:dyDescent="0.35">
      <c r="B42" s="44" t="s">
        <v>25</v>
      </c>
      <c r="C42" s="26">
        <v>-634.49</v>
      </c>
      <c r="D42" s="26">
        <v>61</v>
      </c>
      <c r="E42" s="26">
        <v>32</v>
      </c>
      <c r="F42" s="34">
        <f t="shared" si="7"/>
        <v>29</v>
      </c>
      <c r="H42" s="44" t="s">
        <v>25</v>
      </c>
      <c r="I42" s="26">
        <v>-1373.4</v>
      </c>
      <c r="J42" s="26">
        <v>67</v>
      </c>
      <c r="K42" s="26">
        <v>27</v>
      </c>
      <c r="L42" s="34">
        <f t="shared" si="8"/>
        <v>40</v>
      </c>
    </row>
    <row r="43" spans="2:12" ht="12.75" customHeight="1" thickBot="1" x14ac:dyDescent="0.35">
      <c r="B43" s="44" t="s">
        <v>26</v>
      </c>
      <c r="C43" s="35">
        <v>-1130.69</v>
      </c>
      <c r="D43" s="35">
        <v>66</v>
      </c>
      <c r="E43" s="35">
        <v>25</v>
      </c>
      <c r="F43" s="36">
        <f t="shared" si="7"/>
        <v>41</v>
      </c>
      <c r="H43" s="44" t="s">
        <v>26</v>
      </c>
      <c r="I43" s="35">
        <v>-4339.95</v>
      </c>
      <c r="J43" s="35">
        <v>84</v>
      </c>
      <c r="K43" s="35">
        <v>29</v>
      </c>
      <c r="L43" s="36">
        <f t="shared" si="8"/>
        <v>55</v>
      </c>
    </row>
    <row r="44" spans="2:12" ht="12.75" customHeight="1" x14ac:dyDescent="0.3">
      <c r="D44" s="29">
        <f>SUM(D34:D43)</f>
        <v>601</v>
      </c>
      <c r="E44" s="29">
        <f>SUM(E34:E43)</f>
        <v>288</v>
      </c>
      <c r="F44" s="29">
        <f>SUM(F34:F43)</f>
        <v>313</v>
      </c>
      <c r="J44" s="29">
        <f t="shared" ref="J44:L44" si="9">SUM(J34:J43)</f>
        <v>681</v>
      </c>
      <c r="K44" s="29">
        <f t="shared" si="9"/>
        <v>301</v>
      </c>
      <c r="L44" s="29">
        <f t="shared" si="9"/>
        <v>380</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37">
        <v>-2489.9899999999998</v>
      </c>
      <c r="D48" s="37">
        <v>75</v>
      </c>
      <c r="E48" s="37">
        <v>30</v>
      </c>
      <c r="F48" s="38">
        <f t="shared" ref="F48:F57" si="10">D48-E48</f>
        <v>45</v>
      </c>
      <c r="H48" s="44" t="s">
        <v>9</v>
      </c>
      <c r="I48" s="37">
        <v>2513.2399999999998</v>
      </c>
      <c r="J48" s="37">
        <v>61</v>
      </c>
      <c r="K48" s="37">
        <v>31</v>
      </c>
      <c r="L48" s="38">
        <f t="shared" ref="L48:L57" si="11">J48-K48</f>
        <v>30</v>
      </c>
    </row>
    <row r="49" spans="2:12" ht="12.75" customHeight="1" thickBot="1" x14ac:dyDescent="0.35">
      <c r="B49" s="44" t="s">
        <v>19</v>
      </c>
      <c r="C49" s="37">
        <v>-752.09</v>
      </c>
      <c r="D49" s="37">
        <v>78</v>
      </c>
      <c r="E49" s="37">
        <v>32</v>
      </c>
      <c r="F49" s="38">
        <f t="shared" si="10"/>
        <v>46</v>
      </c>
      <c r="H49" s="44" t="s">
        <v>19</v>
      </c>
      <c r="I49" s="37">
        <v>1043.0899999999999</v>
      </c>
      <c r="J49" s="37">
        <v>61</v>
      </c>
      <c r="K49" s="37">
        <v>28</v>
      </c>
      <c r="L49" s="38">
        <f t="shared" si="11"/>
        <v>33</v>
      </c>
    </row>
    <row r="50" spans="2:12" ht="12.75" customHeight="1" thickBot="1" x14ac:dyDescent="0.35">
      <c r="B50" s="44" t="s">
        <v>20</v>
      </c>
      <c r="C50" s="37">
        <v>529.35</v>
      </c>
      <c r="D50" s="37">
        <v>78</v>
      </c>
      <c r="E50" s="37">
        <v>38</v>
      </c>
      <c r="F50" s="38">
        <f t="shared" si="10"/>
        <v>40</v>
      </c>
      <c r="H50" s="44" t="s">
        <v>20</v>
      </c>
      <c r="I50" s="37">
        <v>1583.74</v>
      </c>
      <c r="J50" s="37">
        <v>63</v>
      </c>
      <c r="K50" s="37">
        <v>33</v>
      </c>
      <c r="L50" s="38">
        <f t="shared" si="11"/>
        <v>30</v>
      </c>
    </row>
    <row r="51" spans="2:12" ht="12.75" customHeight="1" thickBot="1" x14ac:dyDescent="0.35">
      <c r="B51" s="44" t="s">
        <v>21</v>
      </c>
      <c r="C51" s="37">
        <v>-1815.24</v>
      </c>
      <c r="D51" s="37">
        <v>73</v>
      </c>
      <c r="E51" s="37">
        <v>29</v>
      </c>
      <c r="F51" s="38">
        <f t="shared" si="10"/>
        <v>44</v>
      </c>
      <c r="H51" s="44" t="s">
        <v>21</v>
      </c>
      <c r="I51" s="37">
        <v>3293.73</v>
      </c>
      <c r="J51" s="37">
        <v>63</v>
      </c>
      <c r="K51" s="37">
        <v>37</v>
      </c>
      <c r="L51" s="38">
        <f t="shared" si="11"/>
        <v>26</v>
      </c>
    </row>
    <row r="52" spans="2:12" ht="12.75" customHeight="1" thickBot="1" x14ac:dyDescent="0.35">
      <c r="B52" s="44" t="s">
        <v>22</v>
      </c>
      <c r="C52" s="37">
        <v>216.25</v>
      </c>
      <c r="D52" s="37">
        <v>75</v>
      </c>
      <c r="E52" s="37">
        <v>30</v>
      </c>
      <c r="F52" s="38">
        <f t="shared" si="10"/>
        <v>45</v>
      </c>
      <c r="H52" s="44" t="s">
        <v>22</v>
      </c>
      <c r="I52" s="37">
        <v>1483.09</v>
      </c>
      <c r="J52" s="37">
        <v>68</v>
      </c>
      <c r="K52" s="37">
        <v>33</v>
      </c>
      <c r="L52" s="38">
        <f t="shared" si="11"/>
        <v>35</v>
      </c>
    </row>
    <row r="53" spans="2:12" ht="12.75" customHeight="1" thickBot="1" x14ac:dyDescent="0.35">
      <c r="B53" s="44" t="s">
        <v>23</v>
      </c>
      <c r="C53" s="37">
        <v>-1645.34</v>
      </c>
      <c r="D53" s="37">
        <v>71</v>
      </c>
      <c r="E53" s="37">
        <v>30</v>
      </c>
      <c r="F53" s="38">
        <f t="shared" si="10"/>
        <v>41</v>
      </c>
      <c r="H53" s="44" t="s">
        <v>23</v>
      </c>
      <c r="I53" s="37">
        <v>1129.19</v>
      </c>
      <c r="J53" s="37">
        <v>64</v>
      </c>
      <c r="K53" s="37">
        <v>31</v>
      </c>
      <c r="L53" s="38">
        <f t="shared" si="11"/>
        <v>33</v>
      </c>
    </row>
    <row r="54" spans="2:12" ht="12.75" customHeight="1" thickBot="1" x14ac:dyDescent="0.35">
      <c r="B54" s="44" t="s">
        <v>24</v>
      </c>
      <c r="C54" s="37">
        <v>896.05</v>
      </c>
      <c r="D54" s="37">
        <v>80</v>
      </c>
      <c r="E54" s="37">
        <v>34</v>
      </c>
      <c r="F54" s="38">
        <f t="shared" si="10"/>
        <v>46</v>
      </c>
      <c r="H54" s="44" t="s">
        <v>24</v>
      </c>
      <c r="I54" s="37">
        <v>1103.4000000000001</v>
      </c>
      <c r="J54" s="37">
        <v>71</v>
      </c>
      <c r="K54" s="37">
        <v>37</v>
      </c>
      <c r="L54" s="38">
        <f t="shared" si="11"/>
        <v>34</v>
      </c>
    </row>
    <row r="55" spans="2:12" ht="12.75" customHeight="1" thickBot="1" x14ac:dyDescent="0.35">
      <c r="B55" s="44" t="s">
        <v>10</v>
      </c>
      <c r="C55" s="37">
        <v>-2935.34</v>
      </c>
      <c r="D55" s="37">
        <v>87</v>
      </c>
      <c r="E55" s="37">
        <v>29</v>
      </c>
      <c r="F55" s="38">
        <f t="shared" si="10"/>
        <v>58</v>
      </c>
      <c r="H55" s="44" t="s">
        <v>10</v>
      </c>
      <c r="I55" s="37">
        <v>1273.3900000000001</v>
      </c>
      <c r="J55" s="37">
        <v>78</v>
      </c>
      <c r="K55" s="37">
        <v>36</v>
      </c>
      <c r="L55" s="38">
        <f t="shared" si="11"/>
        <v>42</v>
      </c>
    </row>
    <row r="56" spans="2:12" ht="12.75" customHeight="1" thickBot="1" x14ac:dyDescent="0.35">
      <c r="B56" s="44" t="s">
        <v>25</v>
      </c>
      <c r="C56" s="37">
        <v>-529.44000000000005</v>
      </c>
      <c r="D56" s="37">
        <v>89</v>
      </c>
      <c r="E56" s="37">
        <v>39</v>
      </c>
      <c r="F56" s="38">
        <f t="shared" si="10"/>
        <v>50</v>
      </c>
      <c r="H56" s="44" t="s">
        <v>25</v>
      </c>
      <c r="I56" s="37">
        <v>-410.9</v>
      </c>
      <c r="J56" s="37">
        <v>65</v>
      </c>
      <c r="K56" s="37">
        <v>26</v>
      </c>
      <c r="L56" s="38">
        <f t="shared" si="11"/>
        <v>39</v>
      </c>
    </row>
    <row r="57" spans="2:12" ht="12.75" customHeight="1" thickBot="1" x14ac:dyDescent="0.35">
      <c r="B57" s="44" t="s">
        <v>26</v>
      </c>
      <c r="C57" s="39">
        <v>-3239.29</v>
      </c>
      <c r="D57" s="39">
        <v>89</v>
      </c>
      <c r="E57" s="39">
        <v>30</v>
      </c>
      <c r="F57" s="40">
        <f t="shared" si="10"/>
        <v>59</v>
      </c>
      <c r="H57" s="44" t="s">
        <v>26</v>
      </c>
      <c r="I57" s="39">
        <v>-1055.05</v>
      </c>
      <c r="J57" s="39">
        <v>75</v>
      </c>
      <c r="K57" s="39">
        <v>28</v>
      </c>
      <c r="L57" s="40">
        <f t="shared" si="11"/>
        <v>47</v>
      </c>
    </row>
    <row r="58" spans="2:12" ht="12.75" customHeight="1" x14ac:dyDescent="0.3">
      <c r="D58" s="29">
        <f>SUM(D48:D57)</f>
        <v>795</v>
      </c>
      <c r="E58" s="29">
        <f>SUM(E48:E57)</f>
        <v>321</v>
      </c>
      <c r="F58" s="29">
        <f>SUM(F48:F57)</f>
        <v>474</v>
      </c>
      <c r="J58" s="29">
        <f t="shared" ref="J58:L58" si="12">SUM(J48:J57)</f>
        <v>669</v>
      </c>
      <c r="K58" s="29">
        <f t="shared" si="12"/>
        <v>320</v>
      </c>
      <c r="L58" s="29">
        <f t="shared" si="12"/>
        <v>349</v>
      </c>
    </row>
    <row r="59" spans="2:12" ht="12.75" customHeight="1" x14ac:dyDescent="0.3">
      <c r="C59" s="30" t="s">
        <v>14</v>
      </c>
      <c r="D59" s="30">
        <f>D58+D44+D30+D16</f>
        <v>2819</v>
      </c>
      <c r="E59" s="30">
        <f t="shared" ref="E59:F59" si="13">E58+E44+E30+E16</f>
        <v>1243</v>
      </c>
      <c r="F59" s="30">
        <f t="shared" si="13"/>
        <v>1576</v>
      </c>
      <c r="I59" s="30" t="s">
        <v>15</v>
      </c>
      <c r="J59" s="30">
        <f t="shared" ref="J59:L59" si="14">J58+J44+J30+J16</f>
        <v>2713</v>
      </c>
      <c r="K59" s="30">
        <f t="shared" si="14"/>
        <v>1303</v>
      </c>
      <c r="L59" s="30">
        <f t="shared" si="14"/>
        <v>1391</v>
      </c>
    </row>
    <row r="60" spans="2:12" ht="12.75" customHeight="1" x14ac:dyDescent="0.3"/>
    <row r="61" spans="2:12" ht="12.75" customHeight="1" x14ac:dyDescent="0.3">
      <c r="C61" s="31" t="s">
        <v>16</v>
      </c>
      <c r="D61" s="31">
        <f>D59+J59</f>
        <v>5532</v>
      </c>
      <c r="E61" s="31">
        <f t="shared" ref="E61" si="15">E59+K59</f>
        <v>2546</v>
      </c>
      <c r="F61" s="31">
        <f>F59+L59</f>
        <v>2967</v>
      </c>
    </row>
    <row r="62" spans="2:12" ht="12.75" customHeight="1" x14ac:dyDescent="0.3">
      <c r="C62" s="32" t="s">
        <v>17</v>
      </c>
      <c r="D62" s="33">
        <f>E61/D61</f>
        <v>0.46023138105567607</v>
      </c>
    </row>
    <row r="63" spans="2:12" ht="12.75" customHeight="1" x14ac:dyDescent="0.3">
      <c r="C63" s="32" t="s">
        <v>18</v>
      </c>
      <c r="D63" s="33">
        <f>1-D62</f>
        <v>0.53976861894432393</v>
      </c>
    </row>
    <row r="64" spans="2:1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3">
    <mergeCell ref="B1:L1"/>
    <mergeCell ref="B3:F3"/>
    <mergeCell ref="H3:L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BBAA-C5C6-4666-B289-601EAA24E4AE}">
  <dimension ref="A1:L1000"/>
  <sheetViews>
    <sheetView topLeftCell="B40" workbookViewId="0">
      <selection activeCell="B2" sqref="B1:B1048576"/>
    </sheetView>
  </sheetViews>
  <sheetFormatPr defaultColWidth="12.6640625" defaultRowHeight="15.6" x14ac:dyDescent="0.3"/>
  <cols>
    <col min="1" max="1" width="4.6640625" style="25" customWidth="1"/>
    <col min="2" max="2" width="12.6640625" style="25"/>
    <col min="3" max="3" width="17.88671875" style="25" customWidth="1"/>
    <col min="4" max="4" width="31.88671875" style="25" customWidth="1"/>
    <col min="5" max="5" width="21.33203125" style="25" customWidth="1"/>
    <col min="6" max="6" width="22.88671875" style="25" customWidth="1"/>
    <col min="7" max="8" width="12.6640625" style="25"/>
    <col min="9" max="9" width="17.88671875" style="25" customWidth="1"/>
    <col min="10" max="10" width="32" style="25" customWidth="1"/>
    <col min="11" max="11" width="21" style="25" customWidth="1"/>
    <col min="12" max="12" width="24.44140625" style="25" customWidth="1"/>
    <col min="13" max="16384" width="12.6640625" style="25"/>
  </cols>
  <sheetData>
    <row r="1" spans="1:12" ht="15.75" customHeight="1" x14ac:dyDescent="0.3">
      <c r="A1" s="21"/>
      <c r="B1" s="62" t="s">
        <v>0</v>
      </c>
      <c r="C1" s="63"/>
      <c r="D1" s="63"/>
      <c r="E1" s="63"/>
      <c r="F1" s="63"/>
      <c r="G1" s="63"/>
      <c r="H1" s="63"/>
      <c r="I1" s="63"/>
      <c r="J1" s="63"/>
      <c r="K1" s="63"/>
      <c r="L1" s="63"/>
    </row>
    <row r="2" spans="1:12" ht="15.75" customHeight="1" x14ac:dyDescent="0.3">
      <c r="A2" s="21"/>
      <c r="B2" s="21"/>
      <c r="C2" s="26"/>
      <c r="D2" s="26"/>
      <c r="E2" s="26"/>
      <c r="F2" s="26"/>
    </row>
    <row r="3" spans="1:12" ht="15.75" customHeight="1" x14ac:dyDescent="0.3">
      <c r="A3" s="21"/>
      <c r="B3" s="64" t="s">
        <v>1</v>
      </c>
      <c r="C3" s="63"/>
      <c r="D3" s="63"/>
      <c r="E3" s="63"/>
      <c r="F3" s="63"/>
      <c r="H3" s="64" t="s">
        <v>2</v>
      </c>
      <c r="I3" s="63"/>
      <c r="J3" s="63"/>
      <c r="K3" s="63"/>
      <c r="L3" s="63"/>
    </row>
    <row r="4" spans="1:12" ht="15.75" customHeight="1" x14ac:dyDescent="0.3">
      <c r="A4" s="21"/>
      <c r="B4" s="22" t="s">
        <v>3</v>
      </c>
      <c r="C4" s="27"/>
      <c r="D4" s="27"/>
      <c r="E4" s="27"/>
      <c r="F4" s="28"/>
      <c r="H4" s="22" t="s">
        <v>3</v>
      </c>
      <c r="I4" s="27"/>
      <c r="J4" s="27"/>
      <c r="K4" s="27"/>
      <c r="L4" s="28"/>
    </row>
    <row r="5" spans="1:12" ht="15.75" customHeight="1" thickBot="1" x14ac:dyDescent="0.35">
      <c r="A5" s="21"/>
      <c r="B5" s="23" t="s">
        <v>4</v>
      </c>
      <c r="C5" s="23" t="s">
        <v>5</v>
      </c>
      <c r="D5" s="23" t="s">
        <v>6</v>
      </c>
      <c r="E5" s="23" t="s">
        <v>7</v>
      </c>
      <c r="F5" s="23" t="s">
        <v>8</v>
      </c>
      <c r="H5" s="23" t="s">
        <v>4</v>
      </c>
      <c r="I5" s="23" t="s">
        <v>5</v>
      </c>
      <c r="J5" s="23" t="s">
        <v>6</v>
      </c>
      <c r="K5" s="23" t="s">
        <v>7</v>
      </c>
      <c r="L5" s="23" t="s">
        <v>8</v>
      </c>
    </row>
    <row r="6" spans="1:12" ht="15.75" customHeight="1" thickBot="1" x14ac:dyDescent="0.35">
      <c r="A6" s="7"/>
      <c r="B6" s="44" t="s">
        <v>9</v>
      </c>
      <c r="C6" s="43">
        <v>627.15</v>
      </c>
      <c r="D6" s="43">
        <v>36</v>
      </c>
      <c r="E6" s="43">
        <v>19</v>
      </c>
      <c r="F6" s="43">
        <v>17</v>
      </c>
      <c r="H6" s="44" t="s">
        <v>9</v>
      </c>
      <c r="I6" s="43">
        <v>-724.35</v>
      </c>
      <c r="J6" s="43">
        <v>35</v>
      </c>
      <c r="K6" s="43">
        <v>14</v>
      </c>
      <c r="L6" s="43">
        <v>20</v>
      </c>
    </row>
    <row r="7" spans="1:12" ht="15.75" customHeight="1" thickBot="1" x14ac:dyDescent="0.35">
      <c r="A7" s="20"/>
      <c r="B7" s="44" t="s">
        <v>19</v>
      </c>
      <c r="C7" s="43">
        <v>1925.5</v>
      </c>
      <c r="D7" s="43">
        <v>39</v>
      </c>
      <c r="E7" s="43">
        <v>23</v>
      </c>
      <c r="F7" s="43">
        <v>16</v>
      </c>
      <c r="H7" s="44" t="s">
        <v>19</v>
      </c>
      <c r="I7" s="43">
        <v>-1448.49</v>
      </c>
      <c r="J7" s="43">
        <v>32</v>
      </c>
      <c r="K7" s="43">
        <v>11</v>
      </c>
      <c r="L7" s="43">
        <v>21</v>
      </c>
    </row>
    <row r="8" spans="1:12" ht="15.75" customHeight="1" thickBot="1" x14ac:dyDescent="0.35">
      <c r="A8" s="7"/>
      <c r="B8" s="44" t="s">
        <v>20</v>
      </c>
      <c r="C8" s="43">
        <v>225.45</v>
      </c>
      <c r="D8" s="43">
        <v>41</v>
      </c>
      <c r="E8" s="43">
        <v>22</v>
      </c>
      <c r="F8" s="43">
        <v>19</v>
      </c>
      <c r="H8" s="44" t="s">
        <v>20</v>
      </c>
      <c r="I8" s="43">
        <v>-2087.75</v>
      </c>
      <c r="J8" s="43">
        <v>35</v>
      </c>
      <c r="K8" s="43">
        <v>13</v>
      </c>
      <c r="L8" s="43">
        <v>21</v>
      </c>
    </row>
    <row r="9" spans="1:12" ht="15.75" customHeight="1" thickBot="1" x14ac:dyDescent="0.35">
      <c r="A9" s="20"/>
      <c r="B9" s="44" t="s">
        <v>21</v>
      </c>
      <c r="C9" s="43">
        <v>85.89</v>
      </c>
      <c r="D9" s="43">
        <v>41</v>
      </c>
      <c r="E9" s="43">
        <v>20</v>
      </c>
      <c r="F9" s="43">
        <v>21</v>
      </c>
      <c r="H9" s="44" t="s">
        <v>21</v>
      </c>
      <c r="I9" s="43">
        <v>-1793.51</v>
      </c>
      <c r="J9" s="43">
        <v>37</v>
      </c>
      <c r="K9" s="43">
        <v>16</v>
      </c>
      <c r="L9" s="43">
        <v>21</v>
      </c>
    </row>
    <row r="10" spans="1:12" ht="15.75" customHeight="1" thickBot="1" x14ac:dyDescent="0.35">
      <c r="A10" s="7"/>
      <c r="B10" s="44" t="s">
        <v>22</v>
      </c>
      <c r="C10" s="43">
        <v>1784.6</v>
      </c>
      <c r="D10" s="43">
        <v>37</v>
      </c>
      <c r="E10" s="43">
        <v>23</v>
      </c>
      <c r="F10" s="43">
        <v>14</v>
      </c>
      <c r="H10" s="44" t="s">
        <v>22</v>
      </c>
      <c r="I10" s="43">
        <v>-1303.8900000000001</v>
      </c>
      <c r="J10" s="43">
        <v>29</v>
      </c>
      <c r="K10" s="43">
        <v>14</v>
      </c>
      <c r="L10" s="43">
        <v>15</v>
      </c>
    </row>
    <row r="11" spans="1:12" ht="15.75" customHeight="1" thickBot="1" x14ac:dyDescent="0.35">
      <c r="A11" s="7"/>
      <c r="B11" s="44" t="s">
        <v>23</v>
      </c>
      <c r="C11" s="43">
        <v>235.45</v>
      </c>
      <c r="D11" s="43">
        <v>37</v>
      </c>
      <c r="E11" s="43">
        <v>19</v>
      </c>
      <c r="F11" s="43">
        <v>18</v>
      </c>
      <c r="H11" s="44" t="s">
        <v>23</v>
      </c>
      <c r="I11" s="43">
        <v>-567.54999999999995</v>
      </c>
      <c r="J11" s="43">
        <v>36</v>
      </c>
      <c r="K11" s="43">
        <v>17</v>
      </c>
      <c r="L11" s="43">
        <v>19</v>
      </c>
    </row>
    <row r="12" spans="1:12" ht="15.75" customHeight="1" thickBot="1" x14ac:dyDescent="0.35">
      <c r="A12" s="20"/>
      <c r="B12" s="44" t="s">
        <v>24</v>
      </c>
      <c r="C12" s="43">
        <v>-1678</v>
      </c>
      <c r="D12" s="43">
        <v>59</v>
      </c>
      <c r="E12" s="43">
        <v>16</v>
      </c>
      <c r="F12" s="43">
        <v>23</v>
      </c>
      <c r="H12" s="44" t="s">
        <v>24</v>
      </c>
      <c r="I12" s="43">
        <v>527.24</v>
      </c>
      <c r="J12" s="43">
        <v>32</v>
      </c>
      <c r="K12" s="43">
        <v>19</v>
      </c>
      <c r="L12" s="43">
        <v>13</v>
      </c>
    </row>
    <row r="13" spans="1:12" ht="15.75" customHeight="1" thickBot="1" x14ac:dyDescent="0.35">
      <c r="A13" s="7"/>
      <c r="B13" s="44" t="s">
        <v>10</v>
      </c>
      <c r="C13" s="43">
        <v>-43.54</v>
      </c>
      <c r="D13" s="43">
        <v>37</v>
      </c>
      <c r="E13" s="43">
        <v>21</v>
      </c>
      <c r="F13" s="43">
        <v>16</v>
      </c>
      <c r="H13" s="44" t="s">
        <v>10</v>
      </c>
      <c r="I13" s="43">
        <v>-2274.5</v>
      </c>
      <c r="J13" s="43">
        <v>29</v>
      </c>
      <c r="K13" s="43">
        <v>12</v>
      </c>
      <c r="L13" s="43">
        <v>17</v>
      </c>
    </row>
    <row r="14" spans="1:12" ht="15.75" customHeight="1" thickBot="1" x14ac:dyDescent="0.35">
      <c r="A14" s="20"/>
      <c r="B14" s="44" t="s">
        <v>25</v>
      </c>
      <c r="C14" s="43">
        <v>397.45</v>
      </c>
      <c r="D14" s="43">
        <v>40</v>
      </c>
      <c r="E14" s="43">
        <v>19</v>
      </c>
      <c r="F14" s="43">
        <v>21</v>
      </c>
      <c r="H14" s="44" t="s">
        <v>25</v>
      </c>
      <c r="I14" s="43">
        <v>-2024.35</v>
      </c>
      <c r="J14" s="43">
        <v>33</v>
      </c>
      <c r="K14" s="43">
        <v>13</v>
      </c>
      <c r="L14" s="43">
        <v>20</v>
      </c>
    </row>
    <row r="15" spans="1:12" ht="15.75" customHeight="1" thickBot="1" x14ac:dyDescent="0.35">
      <c r="A15" s="7"/>
      <c r="B15" s="44" t="s">
        <v>26</v>
      </c>
      <c r="C15" s="43">
        <v>5887.35</v>
      </c>
      <c r="D15" s="43">
        <v>43</v>
      </c>
      <c r="E15" s="43">
        <v>32</v>
      </c>
      <c r="F15" s="43">
        <v>11</v>
      </c>
      <c r="H15" s="44" t="s">
        <v>26</v>
      </c>
      <c r="I15" s="43">
        <v>-3539.4</v>
      </c>
      <c r="J15" s="43">
        <v>42</v>
      </c>
      <c r="K15" s="43">
        <v>18</v>
      </c>
      <c r="L15" s="43">
        <v>24</v>
      </c>
    </row>
    <row r="16" spans="1:12" ht="12.75" customHeight="1" x14ac:dyDescent="0.3">
      <c r="C16" s="43"/>
      <c r="D16" s="43">
        <f>SUM(D6:D15)</f>
        <v>410</v>
      </c>
      <c r="E16" s="43">
        <f>SUM(E6:E15)</f>
        <v>214</v>
      </c>
      <c r="F16" s="43">
        <f>SUM(F6:F15)</f>
        <v>176</v>
      </c>
      <c r="J16" s="29">
        <f t="shared" ref="J16:L16" si="0">SUM(J6:J15)</f>
        <v>340</v>
      </c>
      <c r="K16" s="29">
        <f t="shared" si="0"/>
        <v>147</v>
      </c>
      <c r="L16" s="29">
        <f t="shared" si="0"/>
        <v>191</v>
      </c>
    </row>
    <row r="17" spans="2:12" ht="12.75" customHeight="1" x14ac:dyDescent="0.3"/>
    <row r="18" spans="2:12" ht="15.75" customHeight="1" x14ac:dyDescent="0.3">
      <c r="B18" s="22" t="s">
        <v>11</v>
      </c>
      <c r="C18" s="27"/>
      <c r="D18" s="27"/>
      <c r="E18" s="27"/>
      <c r="F18" s="28"/>
      <c r="H18" s="22" t="s">
        <v>11</v>
      </c>
      <c r="I18" s="27"/>
      <c r="J18" s="27"/>
      <c r="K18" s="27"/>
      <c r="L18" s="28"/>
    </row>
    <row r="19" spans="2:12" ht="15.75" customHeight="1" thickBot="1" x14ac:dyDescent="0.35">
      <c r="B19" s="23" t="s">
        <v>4</v>
      </c>
      <c r="C19" s="23" t="s">
        <v>5</v>
      </c>
      <c r="D19" s="23" t="s">
        <v>6</v>
      </c>
      <c r="E19" s="23" t="s">
        <v>7</v>
      </c>
      <c r="F19" s="23" t="s">
        <v>8</v>
      </c>
      <c r="H19" s="23" t="s">
        <v>4</v>
      </c>
      <c r="I19" s="23" t="s">
        <v>5</v>
      </c>
      <c r="J19" s="23" t="s">
        <v>6</v>
      </c>
      <c r="K19" s="23" t="s">
        <v>7</v>
      </c>
      <c r="L19" s="23" t="s">
        <v>8</v>
      </c>
    </row>
    <row r="20" spans="2:12" ht="15.75" customHeight="1" thickBot="1" x14ac:dyDescent="0.35">
      <c r="B20" s="44" t="s">
        <v>9</v>
      </c>
      <c r="C20" s="43">
        <v>-1359.9</v>
      </c>
      <c r="D20" s="43">
        <v>36</v>
      </c>
      <c r="E20" s="43">
        <v>13</v>
      </c>
      <c r="F20" s="43">
        <v>23</v>
      </c>
      <c r="H20" s="44" t="s">
        <v>9</v>
      </c>
      <c r="I20" s="43">
        <v>1434.39</v>
      </c>
      <c r="J20" s="43">
        <v>33</v>
      </c>
      <c r="K20" s="43">
        <v>24</v>
      </c>
      <c r="L20" s="43">
        <v>9</v>
      </c>
    </row>
    <row r="21" spans="2:12" ht="15.75" customHeight="1" thickBot="1" x14ac:dyDescent="0.35">
      <c r="B21" s="44" t="s">
        <v>19</v>
      </c>
      <c r="C21" s="43">
        <v>-1128.8900000000001</v>
      </c>
      <c r="D21" s="43">
        <v>35</v>
      </c>
      <c r="E21" s="43">
        <v>15</v>
      </c>
      <c r="F21" s="43">
        <v>20</v>
      </c>
      <c r="H21" s="44" t="s">
        <v>19</v>
      </c>
      <c r="I21" s="43">
        <v>-515.15</v>
      </c>
      <c r="J21" s="43">
        <v>35</v>
      </c>
      <c r="K21" s="43">
        <v>16</v>
      </c>
      <c r="L21" s="43">
        <v>19</v>
      </c>
    </row>
    <row r="22" spans="2:12" ht="15.75" customHeight="1" thickBot="1" x14ac:dyDescent="0.35">
      <c r="B22" s="44" t="s">
        <v>20</v>
      </c>
      <c r="C22" s="43">
        <v>-719.74</v>
      </c>
      <c r="D22" s="43">
        <v>38</v>
      </c>
      <c r="E22" s="43">
        <v>19</v>
      </c>
      <c r="F22" s="43">
        <v>19</v>
      </c>
      <c r="H22" s="44" t="s">
        <v>20</v>
      </c>
      <c r="I22" s="43">
        <v>-397.45</v>
      </c>
      <c r="J22" s="43">
        <v>31</v>
      </c>
      <c r="K22" s="43">
        <v>13</v>
      </c>
      <c r="L22" s="43">
        <v>18</v>
      </c>
    </row>
    <row r="23" spans="2:12" ht="15.75" customHeight="1" thickBot="1" x14ac:dyDescent="0.35">
      <c r="B23" s="44" t="s">
        <v>21</v>
      </c>
      <c r="C23" s="43">
        <v>317.86</v>
      </c>
      <c r="D23" s="43">
        <v>35</v>
      </c>
      <c r="E23" s="43">
        <v>18</v>
      </c>
      <c r="F23" s="43">
        <v>17</v>
      </c>
      <c r="H23" s="44" t="s">
        <v>21</v>
      </c>
      <c r="I23" s="43">
        <v>-366.32</v>
      </c>
      <c r="J23" s="43">
        <v>31</v>
      </c>
      <c r="K23" s="43">
        <v>15</v>
      </c>
      <c r="L23" s="43">
        <v>16</v>
      </c>
    </row>
    <row r="24" spans="2:12" ht="15.75" customHeight="1" thickBot="1" x14ac:dyDescent="0.35">
      <c r="B24" s="44" t="s">
        <v>22</v>
      </c>
      <c r="C24" s="43">
        <v>-361.19</v>
      </c>
      <c r="D24" s="43">
        <v>40</v>
      </c>
      <c r="E24" s="43">
        <v>18</v>
      </c>
      <c r="F24" s="43">
        <v>22</v>
      </c>
      <c r="H24" s="44" t="s">
        <v>22</v>
      </c>
      <c r="I24" s="43">
        <v>41.79</v>
      </c>
      <c r="J24" s="43">
        <v>37</v>
      </c>
      <c r="K24" s="43">
        <v>17</v>
      </c>
      <c r="L24" s="43">
        <v>20</v>
      </c>
    </row>
    <row r="25" spans="2:12" ht="15.75" customHeight="1" thickBot="1" x14ac:dyDescent="0.35">
      <c r="B25" s="44" t="s">
        <v>23</v>
      </c>
      <c r="C25" s="43">
        <v>-1850.59</v>
      </c>
      <c r="D25" s="43">
        <v>37</v>
      </c>
      <c r="E25" s="43">
        <v>15</v>
      </c>
      <c r="F25" s="43">
        <v>22</v>
      </c>
      <c r="H25" s="44" t="s">
        <v>23</v>
      </c>
      <c r="I25" s="43">
        <v>-1273.2</v>
      </c>
      <c r="J25" s="43">
        <v>32</v>
      </c>
      <c r="K25" s="43">
        <v>14</v>
      </c>
      <c r="L25" s="43">
        <v>18</v>
      </c>
    </row>
    <row r="26" spans="2:12" ht="15.75" customHeight="1" thickBot="1" x14ac:dyDescent="0.35">
      <c r="B26" s="44" t="s">
        <v>24</v>
      </c>
      <c r="C26" s="43">
        <v>-830.49</v>
      </c>
      <c r="D26" s="43">
        <v>41</v>
      </c>
      <c r="E26" s="43">
        <v>21</v>
      </c>
      <c r="F26" s="43">
        <v>20</v>
      </c>
      <c r="H26" s="44" t="s">
        <v>24</v>
      </c>
      <c r="I26" s="43">
        <v>161.55000000000001</v>
      </c>
      <c r="J26" s="43">
        <v>38</v>
      </c>
      <c r="K26" s="43">
        <v>19</v>
      </c>
      <c r="L26" s="43">
        <v>19</v>
      </c>
    </row>
    <row r="27" spans="2:12" ht="12.75" customHeight="1" thickBot="1" x14ac:dyDescent="0.35">
      <c r="B27" s="44" t="s">
        <v>10</v>
      </c>
      <c r="C27" s="43">
        <v>-678.04</v>
      </c>
      <c r="D27" s="43">
        <v>39</v>
      </c>
      <c r="E27" s="43">
        <v>19</v>
      </c>
      <c r="F27" s="43">
        <v>20</v>
      </c>
      <c r="H27" s="44" t="s">
        <v>10</v>
      </c>
      <c r="I27" s="43">
        <v>1070.04</v>
      </c>
      <c r="J27" s="43">
        <v>33</v>
      </c>
      <c r="K27" s="43">
        <v>18</v>
      </c>
      <c r="L27" s="43">
        <v>14</v>
      </c>
    </row>
    <row r="28" spans="2:12" ht="12.75" customHeight="1" thickBot="1" x14ac:dyDescent="0.35">
      <c r="B28" s="44" t="s">
        <v>25</v>
      </c>
      <c r="C28" s="43">
        <v>-1816.69</v>
      </c>
      <c r="D28" s="43">
        <v>44</v>
      </c>
      <c r="E28" s="43">
        <v>16</v>
      </c>
      <c r="F28" s="43">
        <v>28</v>
      </c>
      <c r="H28" s="44" t="s">
        <v>25</v>
      </c>
      <c r="I28" s="43">
        <v>1418.39</v>
      </c>
      <c r="J28" s="43">
        <v>33</v>
      </c>
      <c r="K28" s="43">
        <v>23</v>
      </c>
      <c r="L28" s="43">
        <v>10</v>
      </c>
    </row>
    <row r="29" spans="2:12" ht="12.75" customHeight="1" thickBot="1" x14ac:dyDescent="0.35">
      <c r="B29" s="44" t="s">
        <v>26</v>
      </c>
      <c r="C29" s="43">
        <v>-2208.79</v>
      </c>
      <c r="D29" s="43">
        <v>45</v>
      </c>
      <c r="E29" s="43">
        <v>19</v>
      </c>
      <c r="F29" s="43">
        <v>26</v>
      </c>
      <c r="H29" s="44" t="s">
        <v>26</v>
      </c>
      <c r="I29" s="43">
        <v>4016.59</v>
      </c>
      <c r="J29" s="43">
        <v>34</v>
      </c>
      <c r="K29" s="43">
        <v>24</v>
      </c>
      <c r="L29" s="43">
        <v>10</v>
      </c>
    </row>
    <row r="30" spans="2:12" ht="12.75" customHeight="1" x14ac:dyDescent="0.3">
      <c r="C30" s="43"/>
      <c r="D30" s="43">
        <f>SUM(D20:D29)</f>
        <v>390</v>
      </c>
      <c r="E30" s="43">
        <f>SUM(E20:E29)</f>
        <v>173</v>
      </c>
      <c r="F30" s="43">
        <f>SUM(F20:F29)</f>
        <v>217</v>
      </c>
      <c r="J30" s="29">
        <f t="shared" ref="J30:L30" si="1">SUM(J20:J29)</f>
        <v>337</v>
      </c>
      <c r="K30" s="29">
        <f t="shared" si="1"/>
        <v>183</v>
      </c>
      <c r="L30" s="29">
        <f t="shared" si="1"/>
        <v>153</v>
      </c>
    </row>
    <row r="31" spans="2:12" ht="12.75" customHeight="1" x14ac:dyDescent="0.3"/>
    <row r="32" spans="2:12" ht="12.75" customHeight="1" x14ac:dyDescent="0.3">
      <c r="B32" s="22" t="s">
        <v>12</v>
      </c>
      <c r="C32" s="27"/>
      <c r="D32" s="27"/>
      <c r="E32" s="27"/>
      <c r="F32" s="28"/>
      <c r="H32" s="22" t="s">
        <v>12</v>
      </c>
      <c r="I32" s="27"/>
      <c r="J32" s="27"/>
      <c r="K32" s="27"/>
      <c r="L32" s="28"/>
    </row>
    <row r="33" spans="2:12" ht="12.75" customHeight="1" thickBot="1" x14ac:dyDescent="0.35">
      <c r="B33" s="23" t="s">
        <v>4</v>
      </c>
      <c r="C33" s="23" t="s">
        <v>5</v>
      </c>
      <c r="D33" s="23" t="s">
        <v>6</v>
      </c>
      <c r="E33" s="23" t="s">
        <v>7</v>
      </c>
      <c r="F33" s="23" t="s">
        <v>8</v>
      </c>
      <c r="H33" s="23" t="s">
        <v>4</v>
      </c>
      <c r="I33" s="23" t="s">
        <v>5</v>
      </c>
      <c r="J33" s="23" t="s">
        <v>6</v>
      </c>
      <c r="K33" s="23" t="s">
        <v>7</v>
      </c>
      <c r="L33" s="23" t="s">
        <v>8</v>
      </c>
    </row>
    <row r="34" spans="2:12" ht="12.75" customHeight="1" thickBot="1" x14ac:dyDescent="0.35">
      <c r="B34" s="44" t="s">
        <v>9</v>
      </c>
      <c r="C34" s="43">
        <v>700.1</v>
      </c>
      <c r="D34" s="43">
        <v>40</v>
      </c>
      <c r="E34" s="43">
        <v>17</v>
      </c>
      <c r="F34" s="43">
        <v>23</v>
      </c>
      <c r="H34" s="44" t="s">
        <v>9</v>
      </c>
      <c r="I34" s="43">
        <v>-3.79</v>
      </c>
      <c r="J34" s="43">
        <v>32</v>
      </c>
      <c r="K34" s="43">
        <v>15</v>
      </c>
      <c r="L34" s="43">
        <v>17</v>
      </c>
    </row>
    <row r="35" spans="2:12" ht="12.75" customHeight="1" thickBot="1" x14ac:dyDescent="0.35">
      <c r="B35" s="44" t="s">
        <v>19</v>
      </c>
      <c r="C35" s="43">
        <v>-451.2</v>
      </c>
      <c r="D35" s="43">
        <v>30</v>
      </c>
      <c r="E35" s="43">
        <v>14</v>
      </c>
      <c r="F35" s="43">
        <v>16</v>
      </c>
      <c r="H35" s="44" t="s">
        <v>19</v>
      </c>
      <c r="I35" s="43">
        <v>-48.09</v>
      </c>
      <c r="J35" s="43">
        <v>29</v>
      </c>
      <c r="K35" s="43">
        <v>14</v>
      </c>
      <c r="L35" s="43">
        <v>15</v>
      </c>
    </row>
    <row r="36" spans="2:12" ht="12.75" customHeight="1" thickBot="1" x14ac:dyDescent="0.35">
      <c r="B36" s="44" t="s">
        <v>20</v>
      </c>
      <c r="C36" s="43">
        <v>1360.05</v>
      </c>
      <c r="D36" s="43">
        <v>36</v>
      </c>
      <c r="E36" s="43">
        <v>20</v>
      </c>
      <c r="F36" s="43">
        <v>16</v>
      </c>
      <c r="H36" s="44" t="s">
        <v>20</v>
      </c>
      <c r="I36" s="43">
        <v>-1466.4</v>
      </c>
      <c r="J36" s="43">
        <v>35</v>
      </c>
      <c r="K36" s="43">
        <v>15</v>
      </c>
      <c r="L36" s="43">
        <v>20</v>
      </c>
    </row>
    <row r="37" spans="2:12" ht="12.75" customHeight="1" thickBot="1" x14ac:dyDescent="0.35">
      <c r="B37" s="44" t="s">
        <v>21</v>
      </c>
      <c r="C37" s="43">
        <v>1590.83</v>
      </c>
      <c r="D37" s="43">
        <v>32</v>
      </c>
      <c r="E37" s="43">
        <v>20</v>
      </c>
      <c r="F37" s="43">
        <v>12</v>
      </c>
      <c r="H37" s="44" t="s">
        <v>21</v>
      </c>
      <c r="I37" s="43">
        <v>-1319.14</v>
      </c>
      <c r="J37" s="43">
        <v>32</v>
      </c>
      <c r="K37" s="43">
        <v>13</v>
      </c>
      <c r="L37" s="43">
        <v>19</v>
      </c>
    </row>
    <row r="38" spans="2:12" ht="12.75" customHeight="1" thickBot="1" x14ac:dyDescent="0.35">
      <c r="B38" s="44" t="s">
        <v>22</v>
      </c>
      <c r="C38" s="43">
        <v>1474.09</v>
      </c>
      <c r="D38" s="43">
        <v>38</v>
      </c>
      <c r="E38" s="43">
        <v>24</v>
      </c>
      <c r="F38" s="43">
        <v>14</v>
      </c>
      <c r="H38" s="44" t="s">
        <v>22</v>
      </c>
      <c r="I38" s="43">
        <v>-1623.2</v>
      </c>
      <c r="J38" s="43">
        <v>35</v>
      </c>
      <c r="K38" s="43">
        <v>14</v>
      </c>
      <c r="L38" s="43">
        <v>21</v>
      </c>
    </row>
    <row r="39" spans="2:12" ht="12.75" customHeight="1" thickBot="1" x14ac:dyDescent="0.35">
      <c r="B39" s="44" t="s">
        <v>23</v>
      </c>
      <c r="C39" s="43">
        <v>47.05</v>
      </c>
      <c r="D39" s="43">
        <v>39</v>
      </c>
      <c r="E39" s="43">
        <v>21</v>
      </c>
      <c r="F39" s="43">
        <v>18</v>
      </c>
      <c r="H39" s="44" t="s">
        <v>23</v>
      </c>
      <c r="I39" s="43">
        <v>-1126.8499999999999</v>
      </c>
      <c r="J39" s="43">
        <v>33</v>
      </c>
      <c r="K39" s="43">
        <v>15</v>
      </c>
      <c r="L39" s="43">
        <v>18</v>
      </c>
    </row>
    <row r="40" spans="2:12" ht="12.75" customHeight="1" thickBot="1" x14ac:dyDescent="0.35">
      <c r="B40" s="44" t="s">
        <v>24</v>
      </c>
      <c r="C40" s="43">
        <v>-1109.49</v>
      </c>
      <c r="D40" s="43">
        <v>35</v>
      </c>
      <c r="E40" s="43">
        <v>15</v>
      </c>
      <c r="F40" s="43">
        <v>20</v>
      </c>
      <c r="H40" s="44" t="s">
        <v>24</v>
      </c>
      <c r="I40" s="43">
        <v>2134.89</v>
      </c>
      <c r="J40" s="43">
        <v>30</v>
      </c>
      <c r="K40" s="43">
        <v>20</v>
      </c>
      <c r="L40" s="43">
        <v>10</v>
      </c>
    </row>
    <row r="41" spans="2:12" ht="12.75" customHeight="1" thickBot="1" x14ac:dyDescent="0.35">
      <c r="B41" s="44" t="s">
        <v>10</v>
      </c>
      <c r="C41" s="43">
        <v>-2034.89</v>
      </c>
      <c r="D41" s="43">
        <v>45</v>
      </c>
      <c r="E41" s="43">
        <v>20</v>
      </c>
      <c r="F41" s="43">
        <v>25</v>
      </c>
      <c r="H41" s="44" t="s">
        <v>10</v>
      </c>
      <c r="I41" s="43">
        <v>-1742.85</v>
      </c>
      <c r="J41" s="43">
        <v>40</v>
      </c>
      <c r="K41" s="43">
        <v>16</v>
      </c>
      <c r="L41" s="43">
        <v>24</v>
      </c>
    </row>
    <row r="42" spans="2:12" ht="12.75" customHeight="1" thickBot="1" x14ac:dyDescent="0.35">
      <c r="B42" s="44" t="s">
        <v>25</v>
      </c>
      <c r="C42" s="43">
        <v>699.65</v>
      </c>
      <c r="D42" s="43">
        <v>38</v>
      </c>
      <c r="E42" s="43">
        <v>21</v>
      </c>
      <c r="F42" s="43">
        <v>17</v>
      </c>
      <c r="H42" s="44" t="s">
        <v>25</v>
      </c>
      <c r="I42" s="43">
        <v>-761.6</v>
      </c>
      <c r="J42" s="43">
        <v>32</v>
      </c>
      <c r="K42" s="43">
        <v>15</v>
      </c>
      <c r="L42" s="43">
        <v>17</v>
      </c>
    </row>
    <row r="43" spans="2:12" ht="12.75" customHeight="1" thickBot="1" x14ac:dyDescent="0.35">
      <c r="B43" s="44" t="s">
        <v>26</v>
      </c>
      <c r="C43" s="43">
        <v>3830.5</v>
      </c>
      <c r="D43" s="43">
        <v>40</v>
      </c>
      <c r="E43" s="43">
        <v>27</v>
      </c>
      <c r="F43" s="43">
        <v>13</v>
      </c>
      <c r="H43" s="44" t="s">
        <v>26</v>
      </c>
      <c r="I43" s="43">
        <v>-1241.55</v>
      </c>
      <c r="J43" s="43">
        <v>34</v>
      </c>
      <c r="K43" s="43">
        <v>14</v>
      </c>
      <c r="L43" s="43">
        <v>20</v>
      </c>
    </row>
    <row r="44" spans="2:12" ht="12.75" customHeight="1" x14ac:dyDescent="0.3">
      <c r="D44" s="29">
        <f>SUM(D34:D43)</f>
        <v>373</v>
      </c>
      <c r="E44" s="29">
        <f>SUM(E34:E43)</f>
        <v>199</v>
      </c>
      <c r="F44" s="29">
        <f>SUM(F34:F43)</f>
        <v>174</v>
      </c>
      <c r="J44" s="29">
        <f t="shared" ref="J44:L44" si="2">SUM(J34:J43)</f>
        <v>332</v>
      </c>
      <c r="K44" s="29">
        <f t="shared" si="2"/>
        <v>151</v>
      </c>
      <c r="L44" s="29">
        <f t="shared" si="2"/>
        <v>181</v>
      </c>
    </row>
    <row r="45" spans="2:12" ht="12.75" customHeight="1" x14ac:dyDescent="0.3"/>
    <row r="46" spans="2:12" ht="12.75" customHeight="1" x14ac:dyDescent="0.3">
      <c r="B46" s="24" t="s">
        <v>13</v>
      </c>
      <c r="C46" s="27"/>
      <c r="D46" s="27"/>
      <c r="E46" s="27"/>
      <c r="F46" s="28"/>
      <c r="H46" s="24" t="s">
        <v>13</v>
      </c>
      <c r="I46" s="27"/>
      <c r="J46" s="27"/>
      <c r="K46" s="27"/>
      <c r="L46" s="28"/>
    </row>
    <row r="47" spans="2:12" ht="12.75" customHeight="1" thickBot="1" x14ac:dyDescent="0.35">
      <c r="B47" s="23" t="s">
        <v>4</v>
      </c>
      <c r="C47" s="23" t="s">
        <v>5</v>
      </c>
      <c r="D47" s="23" t="s">
        <v>6</v>
      </c>
      <c r="E47" s="23" t="s">
        <v>7</v>
      </c>
      <c r="F47" s="23" t="s">
        <v>8</v>
      </c>
      <c r="H47" s="23" t="s">
        <v>4</v>
      </c>
      <c r="I47" s="23" t="s">
        <v>5</v>
      </c>
      <c r="J47" s="23" t="s">
        <v>6</v>
      </c>
      <c r="K47" s="23" t="s">
        <v>7</v>
      </c>
      <c r="L47" s="23" t="s">
        <v>8</v>
      </c>
    </row>
    <row r="48" spans="2:12" ht="12.75" customHeight="1" thickBot="1" x14ac:dyDescent="0.35">
      <c r="B48" s="44" t="s">
        <v>9</v>
      </c>
      <c r="C48" s="43">
        <v>-2997.79</v>
      </c>
      <c r="D48" s="43">
        <v>31</v>
      </c>
      <c r="E48" s="43">
        <v>7</v>
      </c>
      <c r="F48" s="43">
        <v>24</v>
      </c>
      <c r="H48" s="44" t="s">
        <v>9</v>
      </c>
      <c r="I48" s="43">
        <v>1538.84</v>
      </c>
      <c r="J48" s="43">
        <v>32</v>
      </c>
      <c r="K48" s="43">
        <v>21</v>
      </c>
      <c r="L48" s="43">
        <v>11</v>
      </c>
    </row>
    <row r="49" spans="2:12" ht="12.75" customHeight="1" thickBot="1" x14ac:dyDescent="0.35">
      <c r="B49" s="44" t="s">
        <v>19</v>
      </c>
      <c r="C49" s="43">
        <v>-2914.04</v>
      </c>
      <c r="D49" s="43">
        <v>33</v>
      </c>
      <c r="E49" s="43">
        <v>11</v>
      </c>
      <c r="F49" s="43">
        <v>22</v>
      </c>
      <c r="H49" s="44" t="s">
        <v>19</v>
      </c>
      <c r="I49" s="43">
        <v>1369.39</v>
      </c>
      <c r="J49" s="43">
        <v>26</v>
      </c>
      <c r="K49" s="43">
        <v>17</v>
      </c>
      <c r="L49" s="43">
        <v>9</v>
      </c>
    </row>
    <row r="50" spans="2:12" ht="12.75" customHeight="1" thickBot="1" x14ac:dyDescent="0.35">
      <c r="B50" s="44" t="s">
        <v>20</v>
      </c>
      <c r="C50" s="43">
        <v>-1596.7</v>
      </c>
      <c r="D50" s="43">
        <v>39</v>
      </c>
      <c r="E50" s="43">
        <v>17</v>
      </c>
      <c r="F50" s="43">
        <v>22</v>
      </c>
      <c r="H50" s="44" t="s">
        <v>20</v>
      </c>
      <c r="I50" s="43">
        <v>-1548.59</v>
      </c>
      <c r="J50" s="43">
        <v>34</v>
      </c>
      <c r="K50" s="43">
        <v>13</v>
      </c>
      <c r="L50" s="43">
        <v>21</v>
      </c>
    </row>
    <row r="51" spans="2:12" ht="12.75" customHeight="1" thickBot="1" x14ac:dyDescent="0.35">
      <c r="B51" s="44" t="s">
        <v>21</v>
      </c>
      <c r="C51" s="43">
        <v>-1244.82</v>
      </c>
      <c r="D51" s="43">
        <v>34</v>
      </c>
      <c r="E51" s="43">
        <v>14</v>
      </c>
      <c r="F51" s="43">
        <v>20</v>
      </c>
      <c r="H51" s="44" t="s">
        <v>21</v>
      </c>
      <c r="I51" s="43">
        <v>-62.51</v>
      </c>
      <c r="J51" s="43">
        <v>35</v>
      </c>
      <c r="K51" s="43">
        <v>20</v>
      </c>
      <c r="L51" s="43">
        <v>15</v>
      </c>
    </row>
    <row r="52" spans="2:12" ht="12.75" customHeight="1" thickBot="1" x14ac:dyDescent="0.35">
      <c r="B52" s="44" t="s">
        <v>22</v>
      </c>
      <c r="C52" s="43">
        <v>-2502.69</v>
      </c>
      <c r="D52" s="43">
        <v>40</v>
      </c>
      <c r="E52" s="43">
        <v>19</v>
      </c>
      <c r="F52" s="43">
        <v>20</v>
      </c>
      <c r="H52" s="44" t="s">
        <v>22</v>
      </c>
      <c r="I52" s="43">
        <v>208.94</v>
      </c>
      <c r="J52" s="43">
        <v>37</v>
      </c>
      <c r="K52" s="43">
        <v>19</v>
      </c>
      <c r="L52" s="43">
        <v>18</v>
      </c>
    </row>
    <row r="53" spans="2:12" ht="12.75" customHeight="1" thickBot="1" x14ac:dyDescent="0.35">
      <c r="B53" s="44" t="s">
        <v>23</v>
      </c>
      <c r="C53" s="43">
        <v>-898.69</v>
      </c>
      <c r="D53" s="43">
        <v>44</v>
      </c>
      <c r="E53" s="43">
        <v>24</v>
      </c>
      <c r="F53" s="43">
        <v>20</v>
      </c>
      <c r="H53" s="44" t="s">
        <v>23</v>
      </c>
      <c r="I53" s="43">
        <v>-2767.35</v>
      </c>
      <c r="J53" s="43">
        <v>40</v>
      </c>
      <c r="K53" s="43">
        <v>15</v>
      </c>
      <c r="L53" s="43">
        <v>25</v>
      </c>
    </row>
    <row r="54" spans="2:12" ht="12.75" customHeight="1" thickBot="1" x14ac:dyDescent="0.35">
      <c r="B54" s="44" t="s">
        <v>24</v>
      </c>
      <c r="C54" s="43">
        <v>-963.74</v>
      </c>
      <c r="D54" s="43">
        <v>32</v>
      </c>
      <c r="E54" s="43">
        <v>15</v>
      </c>
      <c r="F54" s="43">
        <v>17</v>
      </c>
      <c r="H54" s="44" t="s">
        <v>24</v>
      </c>
      <c r="I54" s="43">
        <v>1909.64</v>
      </c>
      <c r="J54" s="43">
        <v>29</v>
      </c>
      <c r="K54" s="43">
        <v>19</v>
      </c>
      <c r="L54" s="43">
        <v>10</v>
      </c>
    </row>
    <row r="55" spans="2:12" ht="12.75" customHeight="1" thickBot="1" x14ac:dyDescent="0.35">
      <c r="B55" s="44" t="s">
        <v>10</v>
      </c>
      <c r="C55" s="43">
        <v>-4581.4399999999996</v>
      </c>
      <c r="D55" s="43">
        <v>44</v>
      </c>
      <c r="E55" s="43">
        <v>17</v>
      </c>
      <c r="F55" s="43">
        <v>27</v>
      </c>
      <c r="H55" s="44" t="s">
        <v>10</v>
      </c>
      <c r="I55" s="43">
        <v>1838.04</v>
      </c>
      <c r="J55" s="43">
        <v>38</v>
      </c>
      <c r="K55" s="43">
        <v>21</v>
      </c>
      <c r="L55" s="43">
        <v>17</v>
      </c>
    </row>
    <row r="56" spans="2:12" ht="12.75" customHeight="1" thickBot="1" x14ac:dyDescent="0.35">
      <c r="B56" s="44" t="s">
        <v>25</v>
      </c>
      <c r="C56" s="43">
        <v>1131.5999999999999</v>
      </c>
      <c r="D56" s="43">
        <v>35</v>
      </c>
      <c r="E56" s="43">
        <v>18</v>
      </c>
      <c r="F56" s="43">
        <v>17</v>
      </c>
      <c r="H56" s="44" t="s">
        <v>25</v>
      </c>
      <c r="I56" s="43">
        <v>2013.84</v>
      </c>
      <c r="J56" s="43">
        <v>30</v>
      </c>
      <c r="K56" s="43">
        <v>15</v>
      </c>
      <c r="L56" s="43">
        <v>15</v>
      </c>
    </row>
    <row r="57" spans="2:12" ht="12.75" customHeight="1" thickBot="1" x14ac:dyDescent="0.35">
      <c r="B57" s="44" t="s">
        <v>26</v>
      </c>
      <c r="C57" s="43">
        <v>-1711.49</v>
      </c>
      <c r="D57" s="43">
        <v>31</v>
      </c>
      <c r="E57" s="43">
        <v>13</v>
      </c>
      <c r="F57" s="43">
        <v>18</v>
      </c>
      <c r="H57" s="44" t="s">
        <v>26</v>
      </c>
      <c r="I57" s="43">
        <v>539.09</v>
      </c>
      <c r="J57" s="43">
        <v>32</v>
      </c>
      <c r="K57" s="43">
        <v>19</v>
      </c>
      <c r="L57" s="43">
        <v>13</v>
      </c>
    </row>
    <row r="58" spans="2:12" ht="12.75" customHeight="1" x14ac:dyDescent="0.3">
      <c r="D58" s="29">
        <f>SUM(D48:D57)</f>
        <v>363</v>
      </c>
      <c r="E58" s="29">
        <f>SUM(E48:E57)</f>
        <v>155</v>
      </c>
      <c r="F58" s="29">
        <f>SUM(F48:F57)</f>
        <v>207</v>
      </c>
      <c r="J58" s="29">
        <f t="shared" ref="J58:L58" si="3">SUM(J48:J57)</f>
        <v>333</v>
      </c>
      <c r="K58" s="29">
        <f t="shared" si="3"/>
        <v>179</v>
      </c>
      <c r="L58" s="29">
        <f t="shared" si="3"/>
        <v>154</v>
      </c>
    </row>
    <row r="59" spans="2:12" ht="12.75" customHeight="1" x14ac:dyDescent="0.3">
      <c r="C59" s="30" t="s">
        <v>14</v>
      </c>
      <c r="D59" s="30">
        <f>D58+D44+D30+D16</f>
        <v>1536</v>
      </c>
      <c r="E59" s="30">
        <f t="shared" ref="E59:F59" si="4">E58+E44+E30+E16</f>
        <v>741</v>
      </c>
      <c r="F59" s="30">
        <f t="shared" si="4"/>
        <v>774</v>
      </c>
      <c r="I59" s="30" t="s">
        <v>15</v>
      </c>
      <c r="J59" s="30">
        <f t="shared" ref="J59:L59" si="5">J58+J44+J30+J16</f>
        <v>1342</v>
      </c>
      <c r="K59" s="30">
        <f t="shared" si="5"/>
        <v>660</v>
      </c>
      <c r="L59" s="30">
        <f t="shared" si="5"/>
        <v>679</v>
      </c>
    </row>
    <row r="60" spans="2:12" ht="12.75" customHeight="1" x14ac:dyDescent="0.3"/>
    <row r="61" spans="2:12" ht="12.75" customHeight="1" x14ac:dyDescent="0.3">
      <c r="C61" s="31" t="s">
        <v>16</v>
      </c>
      <c r="D61" s="31">
        <f>D59+J59</f>
        <v>2878</v>
      </c>
      <c r="E61" s="31">
        <f t="shared" ref="E61" si="6">E59+K59</f>
        <v>1401</v>
      </c>
      <c r="F61" s="31">
        <f>F59+L59</f>
        <v>1453</v>
      </c>
    </row>
    <row r="62" spans="2:12" ht="12.75" customHeight="1" x14ac:dyDescent="0.3">
      <c r="C62" s="32" t="s">
        <v>17</v>
      </c>
      <c r="D62" s="33">
        <f>E61/D61</f>
        <v>0.48679638637943018</v>
      </c>
    </row>
    <row r="63" spans="2:12" ht="12.75" customHeight="1" x14ac:dyDescent="0.3">
      <c r="C63" s="32" t="s">
        <v>18</v>
      </c>
      <c r="D63" s="33">
        <f>1-D62</f>
        <v>0.51320361362056977</v>
      </c>
    </row>
    <row r="64" spans="2:12" ht="12.75" customHeight="1" x14ac:dyDescent="0.3"/>
    <row r="65" s="25" customFormat="1" ht="12.75" customHeight="1" x14ac:dyDescent="0.3"/>
    <row r="66" s="25" customFormat="1" ht="12.75" customHeight="1" x14ac:dyDescent="0.3"/>
    <row r="67" s="25" customFormat="1" ht="12.75" customHeight="1" x14ac:dyDescent="0.3"/>
    <row r="68" s="25" customFormat="1" ht="12.75" customHeight="1" x14ac:dyDescent="0.3"/>
    <row r="69" s="25" customFormat="1" ht="12.75" customHeight="1" x14ac:dyDescent="0.3"/>
    <row r="70" s="25" customFormat="1" ht="12.75" customHeight="1" x14ac:dyDescent="0.3"/>
    <row r="71" s="25" customFormat="1" ht="12.75" customHeight="1" x14ac:dyDescent="0.3"/>
    <row r="72" s="25" customFormat="1" ht="12.75" customHeight="1" x14ac:dyDescent="0.3"/>
    <row r="73" s="25" customFormat="1" ht="12.75" customHeight="1" x14ac:dyDescent="0.3"/>
    <row r="74" s="25" customFormat="1" ht="12.75" customHeight="1" x14ac:dyDescent="0.3"/>
    <row r="75" s="25" customFormat="1" ht="12.75" customHeight="1" x14ac:dyDescent="0.3"/>
    <row r="76" s="25" customFormat="1" ht="12.75" customHeight="1" x14ac:dyDescent="0.3"/>
    <row r="77" s="25" customFormat="1" ht="12.75" customHeight="1" x14ac:dyDescent="0.3"/>
    <row r="78" s="25" customFormat="1" ht="12.75" customHeight="1" x14ac:dyDescent="0.3"/>
    <row r="79" s="25" customFormat="1" ht="12.75" customHeight="1" x14ac:dyDescent="0.3"/>
    <row r="80" s="25" customFormat="1" ht="12.75" customHeight="1" x14ac:dyDescent="0.3"/>
    <row r="81" s="25" customFormat="1" ht="12.75" customHeight="1" x14ac:dyDescent="0.3"/>
    <row r="82" s="25" customFormat="1" ht="12.75" customHeight="1" x14ac:dyDescent="0.3"/>
    <row r="83" s="25" customFormat="1" ht="12.75" customHeight="1" x14ac:dyDescent="0.3"/>
    <row r="84" s="25" customFormat="1" ht="12.75" customHeight="1" x14ac:dyDescent="0.3"/>
    <row r="85" s="25" customFormat="1" ht="12.75" customHeight="1" x14ac:dyDescent="0.3"/>
    <row r="86" s="25" customFormat="1" ht="12.75" customHeight="1" x14ac:dyDescent="0.3"/>
    <row r="87" s="25" customFormat="1" ht="12.75" customHeight="1" x14ac:dyDescent="0.3"/>
    <row r="88" s="25" customFormat="1" ht="12.75" customHeight="1" x14ac:dyDescent="0.3"/>
    <row r="89" s="25" customFormat="1" ht="12.75" customHeight="1" x14ac:dyDescent="0.3"/>
    <row r="90" s="25" customFormat="1" ht="12.75" customHeight="1" x14ac:dyDescent="0.3"/>
    <row r="91" s="25" customFormat="1" ht="12.75" customHeight="1" x14ac:dyDescent="0.3"/>
    <row r="92" s="25" customFormat="1" ht="12.75" customHeight="1" x14ac:dyDescent="0.3"/>
    <row r="93" s="25" customFormat="1" ht="12.75" customHeight="1" x14ac:dyDescent="0.3"/>
    <row r="94" s="25" customFormat="1" ht="12.75" customHeight="1" x14ac:dyDescent="0.3"/>
    <row r="95" s="25" customFormat="1" ht="12.75" customHeight="1" x14ac:dyDescent="0.3"/>
    <row r="96" s="25" customFormat="1" ht="12.75" customHeight="1" x14ac:dyDescent="0.3"/>
    <row r="97" s="25" customFormat="1" ht="12.75" customHeight="1" x14ac:dyDescent="0.3"/>
    <row r="98" s="25" customFormat="1" ht="12.75" customHeight="1" x14ac:dyDescent="0.3"/>
    <row r="99" s="25" customFormat="1" ht="12.75" customHeight="1" x14ac:dyDescent="0.3"/>
    <row r="100" s="25" customFormat="1" ht="12.75" customHeight="1" x14ac:dyDescent="0.3"/>
    <row r="101" s="25" customFormat="1" ht="12.75" customHeight="1" x14ac:dyDescent="0.3"/>
    <row r="102" s="25" customFormat="1" ht="12.75" customHeight="1" x14ac:dyDescent="0.3"/>
    <row r="103" s="25" customFormat="1" ht="12.75" customHeight="1" x14ac:dyDescent="0.3"/>
    <row r="104" s="25" customFormat="1" ht="12.75" customHeight="1" x14ac:dyDescent="0.3"/>
    <row r="105" s="25" customFormat="1" ht="12.75" customHeight="1" x14ac:dyDescent="0.3"/>
    <row r="106" s="25" customFormat="1" ht="12.75" customHeight="1" x14ac:dyDescent="0.3"/>
    <row r="107" s="25" customFormat="1" ht="12.75" customHeight="1" x14ac:dyDescent="0.3"/>
    <row r="108" s="25" customFormat="1" ht="12.75" customHeight="1" x14ac:dyDescent="0.3"/>
    <row r="109" s="25" customFormat="1" ht="12.75" customHeight="1" x14ac:dyDescent="0.3"/>
    <row r="110" s="25" customFormat="1" ht="12.75" customHeight="1" x14ac:dyDescent="0.3"/>
    <row r="111" s="25" customFormat="1" ht="12.75" customHeight="1" x14ac:dyDescent="0.3"/>
    <row r="112" s="25" customFormat="1" ht="12.75" customHeight="1" x14ac:dyDescent="0.3"/>
    <row r="113" s="25" customFormat="1" ht="12.75" customHeight="1" x14ac:dyDescent="0.3"/>
    <row r="114" s="25" customFormat="1" ht="12.75" customHeight="1" x14ac:dyDescent="0.3"/>
    <row r="115" s="25" customFormat="1" ht="12.75" customHeight="1" x14ac:dyDescent="0.3"/>
    <row r="116" s="25" customFormat="1" ht="12.75" customHeight="1" x14ac:dyDescent="0.3"/>
    <row r="117" s="25" customFormat="1" ht="12.75" customHeight="1" x14ac:dyDescent="0.3"/>
    <row r="118" s="25" customFormat="1" ht="12.75" customHeight="1" x14ac:dyDescent="0.3"/>
    <row r="119" s="25" customFormat="1" ht="12.75" customHeight="1" x14ac:dyDescent="0.3"/>
    <row r="120" s="25" customFormat="1" ht="12.75" customHeight="1" x14ac:dyDescent="0.3"/>
    <row r="121" s="25" customFormat="1" ht="12.75" customHeight="1" x14ac:dyDescent="0.3"/>
    <row r="122" s="25" customFormat="1" ht="12.75" customHeight="1" x14ac:dyDescent="0.3"/>
    <row r="123" s="25" customFormat="1" ht="12.75" customHeight="1" x14ac:dyDescent="0.3"/>
    <row r="124" s="25" customFormat="1" ht="12.75" customHeight="1" x14ac:dyDescent="0.3"/>
    <row r="125" s="25" customFormat="1" ht="12.75" customHeight="1" x14ac:dyDescent="0.3"/>
    <row r="126" s="25" customFormat="1" ht="12.75" customHeight="1" x14ac:dyDescent="0.3"/>
    <row r="127" s="25" customFormat="1" ht="12.75" customHeight="1" x14ac:dyDescent="0.3"/>
    <row r="128" s="25" customFormat="1" ht="12.75" customHeight="1" x14ac:dyDescent="0.3"/>
    <row r="129" s="25" customFormat="1" ht="12.75" customHeight="1" x14ac:dyDescent="0.3"/>
    <row r="130" s="25" customFormat="1" ht="12.75" customHeight="1" x14ac:dyDescent="0.3"/>
    <row r="131" s="25" customFormat="1" ht="12.75" customHeight="1" x14ac:dyDescent="0.3"/>
    <row r="132" s="25" customFormat="1" ht="12.75" customHeight="1" x14ac:dyDescent="0.3"/>
    <row r="133" s="25" customFormat="1" ht="12.75" customHeight="1" x14ac:dyDescent="0.3"/>
    <row r="134" s="25" customFormat="1" ht="12.75" customHeight="1" x14ac:dyDescent="0.3"/>
    <row r="135" s="25" customFormat="1" ht="12.75" customHeight="1" x14ac:dyDescent="0.3"/>
    <row r="136" s="25" customFormat="1" ht="12.75" customHeight="1" x14ac:dyDescent="0.3"/>
    <row r="137" s="25" customFormat="1" ht="12.75" customHeight="1" x14ac:dyDescent="0.3"/>
    <row r="138" s="25" customFormat="1" ht="12.75" customHeight="1" x14ac:dyDescent="0.3"/>
    <row r="139" s="25" customFormat="1" ht="12.75" customHeight="1" x14ac:dyDescent="0.3"/>
    <row r="140" s="25" customFormat="1" ht="12.75" customHeight="1" x14ac:dyDescent="0.3"/>
    <row r="141" s="25" customFormat="1" ht="12.75" customHeight="1" x14ac:dyDescent="0.3"/>
    <row r="142" s="25" customFormat="1" ht="12.75" customHeight="1" x14ac:dyDescent="0.3"/>
    <row r="143" s="25" customFormat="1" ht="12.75" customHeight="1" x14ac:dyDescent="0.3"/>
    <row r="144" s="25" customFormat="1" ht="12.75" customHeight="1" x14ac:dyDescent="0.3"/>
    <row r="145" s="25" customFormat="1" ht="12.75" customHeight="1" x14ac:dyDescent="0.3"/>
    <row r="146" s="25" customFormat="1" ht="12.75" customHeight="1" x14ac:dyDescent="0.3"/>
    <row r="147" s="25" customFormat="1" ht="12.75" customHeight="1" x14ac:dyDescent="0.3"/>
    <row r="148" s="25" customFormat="1" ht="12.75" customHeight="1" x14ac:dyDescent="0.3"/>
    <row r="149" s="25" customFormat="1" ht="12.75" customHeight="1" x14ac:dyDescent="0.3"/>
    <row r="150" s="25" customFormat="1" ht="12.75" customHeight="1" x14ac:dyDescent="0.3"/>
    <row r="151" s="25" customFormat="1" ht="12.75" customHeight="1" x14ac:dyDescent="0.3"/>
    <row r="152" s="25" customFormat="1" ht="12.75" customHeight="1" x14ac:dyDescent="0.3"/>
    <row r="153" s="25" customFormat="1" ht="12.75" customHeight="1" x14ac:dyDescent="0.3"/>
    <row r="154" s="25" customFormat="1" ht="12.75" customHeight="1" x14ac:dyDescent="0.3"/>
    <row r="155" s="25" customFormat="1" ht="12.75" customHeight="1" x14ac:dyDescent="0.3"/>
    <row r="156" s="25" customFormat="1" ht="12.75" customHeight="1" x14ac:dyDescent="0.3"/>
    <row r="157" s="25" customFormat="1" ht="12.75" customHeight="1" x14ac:dyDescent="0.3"/>
    <row r="158" s="25" customFormat="1" ht="12.75" customHeight="1" x14ac:dyDescent="0.3"/>
    <row r="159" s="25" customFormat="1" ht="12.75" customHeight="1" x14ac:dyDescent="0.3"/>
    <row r="160" s="25" customFormat="1" ht="12.75" customHeight="1" x14ac:dyDescent="0.3"/>
    <row r="161" s="25" customFormat="1" ht="12.75" customHeight="1" x14ac:dyDescent="0.3"/>
    <row r="162" s="25" customFormat="1" ht="12.75" customHeight="1" x14ac:dyDescent="0.3"/>
    <row r="163" s="25" customFormat="1" ht="12.75" customHeight="1" x14ac:dyDescent="0.3"/>
    <row r="164" s="25" customFormat="1" ht="12.75" customHeight="1" x14ac:dyDescent="0.3"/>
    <row r="165" s="25" customFormat="1" ht="12.75" customHeight="1" x14ac:dyDescent="0.3"/>
    <row r="166" s="25" customFormat="1" ht="12.75" customHeight="1" x14ac:dyDescent="0.3"/>
    <row r="167" s="25" customFormat="1" ht="12.75" customHeight="1" x14ac:dyDescent="0.3"/>
    <row r="168" s="25" customFormat="1" ht="12.75" customHeight="1" x14ac:dyDescent="0.3"/>
    <row r="169" s="25" customFormat="1" ht="12.75" customHeight="1" x14ac:dyDescent="0.3"/>
    <row r="170" s="25" customFormat="1" ht="12.75" customHeight="1" x14ac:dyDescent="0.3"/>
    <row r="171" s="25" customFormat="1" ht="12.75" customHeight="1" x14ac:dyDescent="0.3"/>
    <row r="172" s="25" customFormat="1" ht="12.75" customHeight="1" x14ac:dyDescent="0.3"/>
    <row r="173" s="25" customFormat="1" ht="12.75" customHeight="1" x14ac:dyDescent="0.3"/>
    <row r="174" s="25" customFormat="1" ht="12.75" customHeight="1" x14ac:dyDescent="0.3"/>
    <row r="175" s="25" customFormat="1" ht="12.75" customHeight="1" x14ac:dyDescent="0.3"/>
    <row r="176" s="25" customFormat="1" ht="12.75" customHeight="1" x14ac:dyDescent="0.3"/>
    <row r="177" s="25" customFormat="1" ht="12.75" customHeight="1" x14ac:dyDescent="0.3"/>
    <row r="178" s="25" customFormat="1" ht="12.75" customHeight="1" x14ac:dyDescent="0.3"/>
    <row r="179" s="25" customFormat="1" ht="12.75" customHeight="1" x14ac:dyDescent="0.3"/>
    <row r="180" s="25" customFormat="1" ht="12.75" customHeight="1" x14ac:dyDescent="0.3"/>
    <row r="181" s="25" customFormat="1" ht="12.75" customHeight="1" x14ac:dyDescent="0.3"/>
    <row r="182" s="25" customFormat="1" ht="12.75" customHeight="1" x14ac:dyDescent="0.3"/>
    <row r="183" s="25" customFormat="1" ht="12.75" customHeight="1" x14ac:dyDescent="0.3"/>
    <row r="184" s="25" customFormat="1" ht="12.75" customHeight="1" x14ac:dyDescent="0.3"/>
    <row r="185" s="25" customFormat="1" ht="12.75" customHeight="1" x14ac:dyDescent="0.3"/>
    <row r="186" s="25" customFormat="1" ht="12.75" customHeight="1" x14ac:dyDescent="0.3"/>
    <row r="187" s="25" customFormat="1" ht="12.75" customHeight="1" x14ac:dyDescent="0.3"/>
    <row r="188" s="25" customFormat="1" ht="12.75" customHeight="1" x14ac:dyDescent="0.3"/>
    <row r="189" s="25" customFormat="1" ht="12.75" customHeight="1" x14ac:dyDescent="0.3"/>
    <row r="190" s="25" customFormat="1" ht="12.75" customHeight="1" x14ac:dyDescent="0.3"/>
    <row r="191" s="25" customFormat="1" ht="12.75" customHeight="1" x14ac:dyDescent="0.3"/>
    <row r="192" s="25" customFormat="1" ht="12.75" customHeight="1" x14ac:dyDescent="0.3"/>
    <row r="193" s="25" customFormat="1" ht="12.75" customHeight="1" x14ac:dyDescent="0.3"/>
    <row r="194" s="25" customFormat="1" ht="12.75" customHeight="1" x14ac:dyDescent="0.3"/>
    <row r="195" s="25" customFormat="1" ht="12.75" customHeight="1" x14ac:dyDescent="0.3"/>
    <row r="196" s="25" customFormat="1" ht="12.75" customHeight="1" x14ac:dyDescent="0.3"/>
    <row r="197" s="25" customFormat="1" ht="12.75" customHeight="1" x14ac:dyDescent="0.3"/>
    <row r="198" s="25" customFormat="1" ht="12.75" customHeight="1" x14ac:dyDescent="0.3"/>
    <row r="199" s="25" customFormat="1" ht="12.75" customHeight="1" x14ac:dyDescent="0.3"/>
    <row r="200" s="25" customFormat="1" ht="12.75" customHeight="1" x14ac:dyDescent="0.3"/>
    <row r="201" s="25" customFormat="1" ht="12.75" customHeight="1" x14ac:dyDescent="0.3"/>
    <row r="202" s="25" customFormat="1" ht="12.75" customHeight="1" x14ac:dyDescent="0.3"/>
    <row r="203" s="25" customFormat="1" ht="12.75" customHeight="1" x14ac:dyDescent="0.3"/>
    <row r="204" s="25" customFormat="1" ht="12.75" customHeight="1" x14ac:dyDescent="0.3"/>
    <row r="205" s="25" customFormat="1" ht="12.75" customHeight="1" x14ac:dyDescent="0.3"/>
    <row r="206" s="25" customFormat="1" ht="12.75" customHeight="1" x14ac:dyDescent="0.3"/>
    <row r="207" s="25" customFormat="1" ht="12.75" customHeight="1" x14ac:dyDescent="0.3"/>
    <row r="208" s="25" customFormat="1" ht="12.75" customHeight="1" x14ac:dyDescent="0.3"/>
    <row r="209" s="25" customFormat="1" ht="12.75" customHeight="1" x14ac:dyDescent="0.3"/>
    <row r="210" s="25" customFormat="1" ht="12.75" customHeight="1" x14ac:dyDescent="0.3"/>
    <row r="211" s="25" customFormat="1" ht="12.75" customHeight="1" x14ac:dyDescent="0.3"/>
    <row r="212" s="25" customFormat="1" ht="12.75" customHeight="1" x14ac:dyDescent="0.3"/>
    <row r="213" s="25" customFormat="1" ht="12.75" customHeight="1" x14ac:dyDescent="0.3"/>
    <row r="214" s="25" customFormat="1" ht="12.75" customHeight="1" x14ac:dyDescent="0.3"/>
    <row r="215" s="25" customFormat="1" ht="12.75" customHeight="1" x14ac:dyDescent="0.3"/>
    <row r="216" s="25" customFormat="1" ht="12.75" customHeight="1" x14ac:dyDescent="0.3"/>
    <row r="217" s="25" customFormat="1" ht="12.75" customHeight="1" x14ac:dyDescent="0.3"/>
    <row r="218" s="25" customFormat="1" ht="12.75" customHeight="1" x14ac:dyDescent="0.3"/>
    <row r="219" s="25" customFormat="1" ht="12.75" customHeight="1" x14ac:dyDescent="0.3"/>
    <row r="220" s="25" customFormat="1" ht="12.75" customHeight="1" x14ac:dyDescent="0.3"/>
    <row r="221" s="25" customFormat="1" ht="12.75" customHeight="1" x14ac:dyDescent="0.3"/>
    <row r="222" s="25" customFormat="1" ht="12.75" customHeight="1" x14ac:dyDescent="0.3"/>
    <row r="223" s="25" customFormat="1" ht="12.75" customHeight="1" x14ac:dyDescent="0.3"/>
    <row r="224" s="25" customFormat="1" ht="12.75" customHeight="1" x14ac:dyDescent="0.3"/>
    <row r="225" s="25" customFormat="1" ht="12.75" customHeight="1" x14ac:dyDescent="0.3"/>
    <row r="226" s="25" customFormat="1" ht="12.75" customHeight="1" x14ac:dyDescent="0.3"/>
    <row r="227" s="25" customFormat="1" ht="12.75" customHeight="1" x14ac:dyDescent="0.3"/>
    <row r="228" s="25" customFormat="1" ht="12.75" customHeight="1" x14ac:dyDescent="0.3"/>
    <row r="229" s="25" customFormat="1" ht="12.75" customHeight="1" x14ac:dyDescent="0.3"/>
    <row r="230" s="25" customFormat="1" ht="12.75" customHeight="1" x14ac:dyDescent="0.3"/>
    <row r="231" s="25" customFormat="1" ht="12.75" customHeight="1" x14ac:dyDescent="0.3"/>
    <row r="232" s="25" customFormat="1" ht="12.75" customHeight="1" x14ac:dyDescent="0.3"/>
    <row r="233" s="25" customFormat="1" ht="12.75" customHeight="1" x14ac:dyDescent="0.3"/>
    <row r="234" s="25" customFormat="1" ht="12.75" customHeight="1" x14ac:dyDescent="0.3"/>
    <row r="235" s="25" customFormat="1" ht="12.75" customHeight="1" x14ac:dyDescent="0.3"/>
    <row r="236" s="25" customFormat="1" ht="12.75" customHeight="1" x14ac:dyDescent="0.3"/>
    <row r="237" s="25" customFormat="1" ht="12.75" customHeight="1" x14ac:dyDescent="0.3"/>
    <row r="238" s="25" customFormat="1" ht="12.75" customHeight="1" x14ac:dyDescent="0.3"/>
    <row r="239" s="25" customFormat="1" ht="12.75" customHeight="1" x14ac:dyDescent="0.3"/>
    <row r="240" s="25" customFormat="1" ht="12.75" customHeight="1" x14ac:dyDescent="0.3"/>
    <row r="241" s="25" customFormat="1" ht="12.75" customHeight="1" x14ac:dyDescent="0.3"/>
    <row r="242" s="25" customFormat="1" ht="12.75" customHeight="1" x14ac:dyDescent="0.3"/>
    <row r="243" s="25" customFormat="1" ht="12.75" customHeight="1" x14ac:dyDescent="0.3"/>
    <row r="244" s="25" customFormat="1" ht="12.75" customHeight="1" x14ac:dyDescent="0.3"/>
    <row r="245" s="25" customFormat="1" ht="12.75" customHeight="1" x14ac:dyDescent="0.3"/>
    <row r="246" s="25" customFormat="1" ht="12.75" customHeight="1" x14ac:dyDescent="0.3"/>
    <row r="247" s="25" customFormat="1" ht="12.75" customHeight="1" x14ac:dyDescent="0.3"/>
    <row r="248" s="25" customFormat="1" ht="12.75" customHeight="1" x14ac:dyDescent="0.3"/>
    <row r="249" s="25" customFormat="1" ht="12.75" customHeight="1" x14ac:dyDescent="0.3"/>
    <row r="250" s="25" customFormat="1" ht="12.75" customHeight="1" x14ac:dyDescent="0.3"/>
    <row r="251" s="25" customFormat="1" ht="12.75" customHeight="1" x14ac:dyDescent="0.3"/>
    <row r="252" s="25" customFormat="1" ht="12.75" customHeight="1" x14ac:dyDescent="0.3"/>
    <row r="253" s="25" customFormat="1" ht="12.75" customHeight="1" x14ac:dyDescent="0.3"/>
    <row r="254" s="25" customFormat="1" ht="12.75" customHeight="1" x14ac:dyDescent="0.3"/>
    <row r="255" s="25" customFormat="1" ht="12.75" customHeight="1" x14ac:dyDescent="0.3"/>
    <row r="256" s="25" customFormat="1" ht="12.75" customHeight="1" x14ac:dyDescent="0.3"/>
    <row r="257" s="25" customFormat="1" ht="12.75" customHeight="1" x14ac:dyDescent="0.3"/>
    <row r="258" s="25" customFormat="1" ht="12.75" customHeight="1" x14ac:dyDescent="0.3"/>
    <row r="259" s="25" customFormat="1" ht="12.75" customHeight="1" x14ac:dyDescent="0.3"/>
    <row r="260" s="25" customFormat="1" ht="12.75" customHeight="1" x14ac:dyDescent="0.3"/>
    <row r="261" s="25" customFormat="1" ht="12.75" customHeight="1" x14ac:dyDescent="0.3"/>
    <row r="262" s="25" customFormat="1" ht="12.75" customHeight="1" x14ac:dyDescent="0.3"/>
    <row r="263" s="25" customFormat="1" ht="12.75" customHeight="1" x14ac:dyDescent="0.3"/>
    <row r="264" s="25" customFormat="1" ht="12.75" customHeight="1" x14ac:dyDescent="0.3"/>
    <row r="265" s="25" customFormat="1" ht="12.75" customHeight="1" x14ac:dyDescent="0.3"/>
    <row r="266" s="25" customFormat="1" ht="12.75" customHeight="1" x14ac:dyDescent="0.3"/>
    <row r="267" s="25" customFormat="1" ht="12.75" customHeight="1" x14ac:dyDescent="0.3"/>
    <row r="268" s="25" customFormat="1" ht="12.75" customHeight="1" x14ac:dyDescent="0.3"/>
    <row r="269" s="25" customFormat="1" ht="12.75" customHeight="1" x14ac:dyDescent="0.3"/>
    <row r="270" s="25" customFormat="1" ht="12.75" customHeight="1" x14ac:dyDescent="0.3"/>
    <row r="271" s="25" customFormat="1" ht="12.75" customHeight="1" x14ac:dyDescent="0.3"/>
    <row r="272" s="25" customFormat="1" ht="12.75" customHeight="1" x14ac:dyDescent="0.3"/>
    <row r="273" s="25" customFormat="1" ht="12.75" customHeight="1" x14ac:dyDescent="0.3"/>
    <row r="274" s="25" customFormat="1" ht="12.75" customHeight="1" x14ac:dyDescent="0.3"/>
    <row r="275" s="25" customFormat="1" ht="12.75" customHeight="1" x14ac:dyDescent="0.3"/>
    <row r="276" s="25" customFormat="1" ht="12.75" customHeight="1" x14ac:dyDescent="0.3"/>
    <row r="277" s="25" customFormat="1" ht="12.75" customHeight="1" x14ac:dyDescent="0.3"/>
    <row r="278" s="25" customFormat="1" ht="12.75" customHeight="1" x14ac:dyDescent="0.3"/>
    <row r="279" s="25" customFormat="1" ht="12.75" customHeight="1" x14ac:dyDescent="0.3"/>
    <row r="280" s="25" customFormat="1" ht="12.75" customHeight="1" x14ac:dyDescent="0.3"/>
    <row r="281" s="25" customFormat="1" ht="12.75" customHeight="1" x14ac:dyDescent="0.3"/>
    <row r="282" s="25" customFormat="1" ht="12.75" customHeight="1" x14ac:dyDescent="0.3"/>
    <row r="283" s="25" customFormat="1" ht="12.75" customHeight="1" x14ac:dyDescent="0.3"/>
    <row r="284" s="25" customFormat="1" ht="12.75" customHeight="1" x14ac:dyDescent="0.3"/>
    <row r="285" s="25" customFormat="1" ht="12.75" customHeight="1" x14ac:dyDescent="0.3"/>
    <row r="286" s="25" customFormat="1" ht="12.75" customHeight="1" x14ac:dyDescent="0.3"/>
    <row r="287" s="25" customFormat="1" ht="12.75" customHeight="1" x14ac:dyDescent="0.3"/>
    <row r="288" s="25" customFormat="1" ht="12.75" customHeight="1" x14ac:dyDescent="0.3"/>
    <row r="289" s="25" customFormat="1" ht="12.75" customHeight="1" x14ac:dyDescent="0.3"/>
    <row r="290" s="25" customFormat="1" ht="12.75" customHeight="1" x14ac:dyDescent="0.3"/>
    <row r="291" s="25" customFormat="1" ht="12.75" customHeight="1" x14ac:dyDescent="0.3"/>
    <row r="292" s="25" customFormat="1" ht="12.75" customHeight="1" x14ac:dyDescent="0.3"/>
    <row r="293" s="25" customFormat="1" ht="12.75" customHeight="1" x14ac:dyDescent="0.3"/>
    <row r="294" s="25" customFormat="1" ht="12.75" customHeight="1" x14ac:dyDescent="0.3"/>
    <row r="295" s="25" customFormat="1" ht="12.75" customHeight="1" x14ac:dyDescent="0.3"/>
    <row r="296" s="25" customFormat="1" ht="12.75" customHeight="1" x14ac:dyDescent="0.3"/>
    <row r="297" s="25" customFormat="1" ht="12.75" customHeight="1" x14ac:dyDescent="0.3"/>
    <row r="298" s="25" customFormat="1" ht="12.75" customHeight="1" x14ac:dyDescent="0.3"/>
    <row r="299" s="25" customFormat="1" ht="12.75" customHeight="1" x14ac:dyDescent="0.3"/>
    <row r="300" s="25" customFormat="1" ht="12.75" customHeight="1" x14ac:dyDescent="0.3"/>
    <row r="301" s="25" customFormat="1" ht="12.75" customHeight="1" x14ac:dyDescent="0.3"/>
    <row r="302" s="25" customFormat="1" ht="12.75" customHeight="1" x14ac:dyDescent="0.3"/>
    <row r="303" s="25" customFormat="1" ht="12.75" customHeight="1" x14ac:dyDescent="0.3"/>
    <row r="304" s="25" customFormat="1" ht="12.75" customHeight="1" x14ac:dyDescent="0.3"/>
    <row r="305" s="25" customFormat="1" ht="12.75" customHeight="1" x14ac:dyDescent="0.3"/>
    <row r="306" s="25" customFormat="1" ht="12.75" customHeight="1" x14ac:dyDescent="0.3"/>
    <row r="307" s="25" customFormat="1" ht="12.75" customHeight="1" x14ac:dyDescent="0.3"/>
    <row r="308" s="25" customFormat="1" ht="12.75" customHeight="1" x14ac:dyDescent="0.3"/>
    <row r="309" s="25" customFormat="1" ht="12.75" customHeight="1" x14ac:dyDescent="0.3"/>
    <row r="310" s="25" customFormat="1" ht="12.75" customHeight="1" x14ac:dyDescent="0.3"/>
    <row r="311" s="25" customFormat="1" ht="12.75" customHeight="1" x14ac:dyDescent="0.3"/>
    <row r="312" s="25" customFormat="1" ht="12.75" customHeight="1" x14ac:dyDescent="0.3"/>
    <row r="313" s="25" customFormat="1" ht="12.75" customHeight="1" x14ac:dyDescent="0.3"/>
    <row r="314" s="25" customFormat="1" ht="12.75" customHeight="1" x14ac:dyDescent="0.3"/>
    <row r="315" s="25" customFormat="1" ht="12.75" customHeight="1" x14ac:dyDescent="0.3"/>
    <row r="316" s="25" customFormat="1" ht="12.75" customHeight="1" x14ac:dyDescent="0.3"/>
    <row r="317" s="25" customFormat="1" ht="12.75" customHeight="1" x14ac:dyDescent="0.3"/>
    <row r="318" s="25" customFormat="1" ht="12.75" customHeight="1" x14ac:dyDescent="0.3"/>
    <row r="319" s="25" customFormat="1" ht="12.75" customHeight="1" x14ac:dyDescent="0.3"/>
    <row r="320" s="25" customFormat="1" ht="12.75" customHeight="1" x14ac:dyDescent="0.3"/>
    <row r="321" s="25" customFormat="1" ht="12.75" customHeight="1" x14ac:dyDescent="0.3"/>
    <row r="322" s="25" customFormat="1" ht="12.75" customHeight="1" x14ac:dyDescent="0.3"/>
    <row r="323" s="25" customFormat="1" ht="12.75" customHeight="1" x14ac:dyDescent="0.3"/>
    <row r="324" s="25" customFormat="1" ht="12.75" customHeight="1" x14ac:dyDescent="0.3"/>
    <row r="325" s="25" customFormat="1" ht="12.75" customHeight="1" x14ac:dyDescent="0.3"/>
    <row r="326" s="25" customFormat="1" ht="12.75" customHeight="1" x14ac:dyDescent="0.3"/>
    <row r="327" s="25" customFormat="1" ht="12.75" customHeight="1" x14ac:dyDescent="0.3"/>
    <row r="328" s="25" customFormat="1" ht="12.75" customHeight="1" x14ac:dyDescent="0.3"/>
    <row r="329" s="25" customFormat="1" ht="12.75" customHeight="1" x14ac:dyDescent="0.3"/>
    <row r="330" s="25" customFormat="1" ht="12.75" customHeight="1" x14ac:dyDescent="0.3"/>
    <row r="331" s="25" customFormat="1" ht="12.75" customHeight="1" x14ac:dyDescent="0.3"/>
    <row r="332" s="25" customFormat="1" ht="12.75" customHeight="1" x14ac:dyDescent="0.3"/>
    <row r="333" s="25" customFormat="1" ht="12.75" customHeight="1" x14ac:dyDescent="0.3"/>
    <row r="334" s="25" customFormat="1" ht="12.75" customHeight="1" x14ac:dyDescent="0.3"/>
    <row r="335" s="25" customFormat="1" ht="12.75" customHeight="1" x14ac:dyDescent="0.3"/>
    <row r="336" s="25" customFormat="1" ht="12.75" customHeight="1" x14ac:dyDescent="0.3"/>
    <row r="337" s="25" customFormat="1" ht="12.75" customHeight="1" x14ac:dyDescent="0.3"/>
    <row r="338" s="25" customFormat="1" ht="12.75" customHeight="1" x14ac:dyDescent="0.3"/>
    <row r="339" s="25" customFormat="1" ht="12.75" customHeight="1" x14ac:dyDescent="0.3"/>
    <row r="340" s="25" customFormat="1" ht="12.75" customHeight="1" x14ac:dyDescent="0.3"/>
    <row r="341" s="25" customFormat="1" ht="12.75" customHeight="1" x14ac:dyDescent="0.3"/>
    <row r="342" s="25" customFormat="1" ht="12.75" customHeight="1" x14ac:dyDescent="0.3"/>
    <row r="343" s="25" customFormat="1" ht="12.75" customHeight="1" x14ac:dyDescent="0.3"/>
    <row r="344" s="25" customFormat="1" ht="12.75" customHeight="1" x14ac:dyDescent="0.3"/>
    <row r="345" s="25" customFormat="1" ht="12.75" customHeight="1" x14ac:dyDescent="0.3"/>
    <row r="346" s="25" customFormat="1" ht="12.75" customHeight="1" x14ac:dyDescent="0.3"/>
    <row r="347" s="25" customFormat="1" ht="12.75" customHeight="1" x14ac:dyDescent="0.3"/>
    <row r="348" s="25" customFormat="1" ht="12.75" customHeight="1" x14ac:dyDescent="0.3"/>
    <row r="349" s="25" customFormat="1" ht="12.75" customHeight="1" x14ac:dyDescent="0.3"/>
    <row r="350" s="25" customFormat="1" ht="12.75" customHeight="1" x14ac:dyDescent="0.3"/>
    <row r="351" s="25" customFormat="1" ht="12.75" customHeight="1" x14ac:dyDescent="0.3"/>
    <row r="352" s="25" customFormat="1" ht="12.75" customHeight="1" x14ac:dyDescent="0.3"/>
    <row r="353" s="25" customFormat="1" ht="12.75" customHeight="1" x14ac:dyDescent="0.3"/>
    <row r="354" s="25" customFormat="1" ht="12.75" customHeight="1" x14ac:dyDescent="0.3"/>
    <row r="355" s="25" customFormat="1" ht="12.75" customHeight="1" x14ac:dyDescent="0.3"/>
    <row r="356" s="25" customFormat="1" ht="12.75" customHeight="1" x14ac:dyDescent="0.3"/>
    <row r="357" s="25" customFormat="1" ht="12.75" customHeight="1" x14ac:dyDescent="0.3"/>
    <row r="358" s="25" customFormat="1" ht="12.75" customHeight="1" x14ac:dyDescent="0.3"/>
    <row r="359" s="25" customFormat="1" ht="12.75" customHeight="1" x14ac:dyDescent="0.3"/>
    <row r="360" s="25" customFormat="1" ht="12.75" customHeight="1" x14ac:dyDescent="0.3"/>
    <row r="361" s="25" customFormat="1" ht="12.75" customHeight="1" x14ac:dyDescent="0.3"/>
    <row r="362" s="25" customFormat="1" ht="12.75" customHeight="1" x14ac:dyDescent="0.3"/>
    <row r="363" s="25" customFormat="1" ht="12.75" customHeight="1" x14ac:dyDescent="0.3"/>
    <row r="364" s="25" customFormat="1" ht="12.75" customHeight="1" x14ac:dyDescent="0.3"/>
    <row r="365" s="25" customFormat="1" ht="12.75" customHeight="1" x14ac:dyDescent="0.3"/>
    <row r="366" s="25" customFormat="1" ht="12.75" customHeight="1" x14ac:dyDescent="0.3"/>
    <row r="367" s="25" customFormat="1" ht="12.75" customHeight="1" x14ac:dyDescent="0.3"/>
    <row r="368" s="25" customFormat="1" ht="12.75" customHeight="1" x14ac:dyDescent="0.3"/>
    <row r="369" s="25" customFormat="1" ht="12.75" customHeight="1" x14ac:dyDescent="0.3"/>
    <row r="370" s="25" customFormat="1" ht="12.75" customHeight="1" x14ac:dyDescent="0.3"/>
    <row r="371" s="25" customFormat="1" ht="12.75" customHeight="1" x14ac:dyDescent="0.3"/>
    <row r="372" s="25" customFormat="1" ht="12.75" customHeight="1" x14ac:dyDescent="0.3"/>
    <row r="373" s="25" customFormat="1" ht="12.75" customHeight="1" x14ac:dyDescent="0.3"/>
    <row r="374" s="25" customFormat="1" ht="12.75" customHeight="1" x14ac:dyDescent="0.3"/>
    <row r="375" s="25" customFormat="1" ht="12.75" customHeight="1" x14ac:dyDescent="0.3"/>
    <row r="376" s="25" customFormat="1" ht="12.75" customHeight="1" x14ac:dyDescent="0.3"/>
    <row r="377" s="25" customFormat="1" ht="12.75" customHeight="1" x14ac:dyDescent="0.3"/>
    <row r="378" s="25" customFormat="1" ht="12.75" customHeight="1" x14ac:dyDescent="0.3"/>
    <row r="379" s="25" customFormat="1" ht="12.75" customHeight="1" x14ac:dyDescent="0.3"/>
    <row r="380" s="25" customFormat="1" ht="12.75" customHeight="1" x14ac:dyDescent="0.3"/>
    <row r="381" s="25" customFormat="1" ht="12.75" customHeight="1" x14ac:dyDescent="0.3"/>
    <row r="382" s="25" customFormat="1" ht="12.75" customHeight="1" x14ac:dyDescent="0.3"/>
    <row r="383" s="25" customFormat="1" ht="12.75" customHeight="1" x14ac:dyDescent="0.3"/>
    <row r="384" s="25" customFormat="1" ht="12.75" customHeight="1" x14ac:dyDescent="0.3"/>
    <row r="385" s="25" customFormat="1" ht="12.75" customHeight="1" x14ac:dyDescent="0.3"/>
    <row r="386" s="25" customFormat="1" ht="12.75" customHeight="1" x14ac:dyDescent="0.3"/>
    <row r="387" s="25" customFormat="1" ht="12.75" customHeight="1" x14ac:dyDescent="0.3"/>
    <row r="388" s="25" customFormat="1" ht="12.75" customHeight="1" x14ac:dyDescent="0.3"/>
    <row r="389" s="25" customFormat="1" ht="12.75" customHeight="1" x14ac:dyDescent="0.3"/>
    <row r="390" s="25" customFormat="1" ht="12.75" customHeight="1" x14ac:dyDescent="0.3"/>
    <row r="391" s="25" customFormat="1" ht="12.75" customHeight="1" x14ac:dyDescent="0.3"/>
    <row r="392" s="25" customFormat="1" ht="12.75" customHeight="1" x14ac:dyDescent="0.3"/>
    <row r="393" s="25" customFormat="1" ht="12.75" customHeight="1" x14ac:dyDescent="0.3"/>
    <row r="394" s="25" customFormat="1" ht="12.75" customHeight="1" x14ac:dyDescent="0.3"/>
    <row r="395" s="25" customFormat="1" ht="12.75" customHeight="1" x14ac:dyDescent="0.3"/>
    <row r="396" s="25" customFormat="1" ht="12.75" customHeight="1" x14ac:dyDescent="0.3"/>
    <row r="397" s="25" customFormat="1" ht="12.75" customHeight="1" x14ac:dyDescent="0.3"/>
    <row r="398" s="25" customFormat="1" ht="12.75" customHeight="1" x14ac:dyDescent="0.3"/>
    <row r="399" s="25" customFormat="1" ht="12.75" customHeight="1" x14ac:dyDescent="0.3"/>
    <row r="400" s="25" customFormat="1" ht="12.75" customHeight="1" x14ac:dyDescent="0.3"/>
    <row r="401" s="25" customFormat="1" ht="12.75" customHeight="1" x14ac:dyDescent="0.3"/>
    <row r="402" s="25" customFormat="1" ht="12.75" customHeight="1" x14ac:dyDescent="0.3"/>
    <row r="403" s="25" customFormat="1" ht="12.75" customHeight="1" x14ac:dyDescent="0.3"/>
    <row r="404" s="25" customFormat="1" ht="12.75" customHeight="1" x14ac:dyDescent="0.3"/>
    <row r="405" s="25" customFormat="1" ht="12.75" customHeight="1" x14ac:dyDescent="0.3"/>
    <row r="406" s="25" customFormat="1" ht="12.75" customHeight="1" x14ac:dyDescent="0.3"/>
    <row r="407" s="25" customFormat="1" ht="12.75" customHeight="1" x14ac:dyDescent="0.3"/>
    <row r="408" s="25" customFormat="1" ht="12.75" customHeight="1" x14ac:dyDescent="0.3"/>
    <row r="409" s="25" customFormat="1" ht="12.75" customHeight="1" x14ac:dyDescent="0.3"/>
    <row r="410" s="25" customFormat="1" ht="12.75" customHeight="1" x14ac:dyDescent="0.3"/>
    <row r="411" s="25" customFormat="1" ht="12.75" customHeight="1" x14ac:dyDescent="0.3"/>
    <row r="412" s="25" customFormat="1" ht="12.75" customHeight="1" x14ac:dyDescent="0.3"/>
    <row r="413" s="25" customFormat="1" ht="12.75" customHeight="1" x14ac:dyDescent="0.3"/>
    <row r="414" s="25" customFormat="1" ht="12.75" customHeight="1" x14ac:dyDescent="0.3"/>
    <row r="415" s="25" customFormat="1" ht="12.75" customHeight="1" x14ac:dyDescent="0.3"/>
    <row r="416" s="25" customFormat="1" ht="12.75" customHeight="1" x14ac:dyDescent="0.3"/>
    <row r="417" s="25" customFormat="1" ht="12.75" customHeight="1" x14ac:dyDescent="0.3"/>
    <row r="418" s="25" customFormat="1" ht="12.75" customHeight="1" x14ac:dyDescent="0.3"/>
    <row r="419" s="25" customFormat="1" ht="12.75" customHeight="1" x14ac:dyDescent="0.3"/>
    <row r="420" s="25" customFormat="1" ht="12.75" customHeight="1" x14ac:dyDescent="0.3"/>
    <row r="421" s="25" customFormat="1" ht="12.75" customHeight="1" x14ac:dyDescent="0.3"/>
    <row r="422" s="25" customFormat="1" ht="12.75" customHeight="1" x14ac:dyDescent="0.3"/>
    <row r="423" s="25" customFormat="1" ht="12.75" customHeight="1" x14ac:dyDescent="0.3"/>
    <row r="424" s="25" customFormat="1" ht="12.75" customHeight="1" x14ac:dyDescent="0.3"/>
    <row r="425" s="25" customFormat="1" ht="12.75" customHeight="1" x14ac:dyDescent="0.3"/>
    <row r="426" s="25" customFormat="1" ht="12.75" customHeight="1" x14ac:dyDescent="0.3"/>
    <row r="427" s="25" customFormat="1" ht="12.75" customHeight="1" x14ac:dyDescent="0.3"/>
    <row r="428" s="25" customFormat="1" ht="12.75" customHeight="1" x14ac:dyDescent="0.3"/>
    <row r="429" s="25" customFormat="1" ht="12.75" customHeight="1" x14ac:dyDescent="0.3"/>
    <row r="430" s="25" customFormat="1" ht="12.75" customHeight="1" x14ac:dyDescent="0.3"/>
    <row r="431" s="25" customFormat="1" ht="12.75" customHeight="1" x14ac:dyDescent="0.3"/>
    <row r="432" s="25" customFormat="1" ht="12.75" customHeight="1" x14ac:dyDescent="0.3"/>
    <row r="433" s="25" customFormat="1" ht="12.75" customHeight="1" x14ac:dyDescent="0.3"/>
    <row r="434" s="25" customFormat="1" ht="12.75" customHeight="1" x14ac:dyDescent="0.3"/>
    <row r="435" s="25" customFormat="1" ht="12.75" customHeight="1" x14ac:dyDescent="0.3"/>
    <row r="436" s="25" customFormat="1" ht="12.75" customHeight="1" x14ac:dyDescent="0.3"/>
    <row r="437" s="25" customFormat="1" ht="12.75" customHeight="1" x14ac:dyDescent="0.3"/>
    <row r="438" s="25" customFormat="1" ht="12.75" customHeight="1" x14ac:dyDescent="0.3"/>
    <row r="439" s="25" customFormat="1" ht="12.75" customHeight="1" x14ac:dyDescent="0.3"/>
    <row r="440" s="25" customFormat="1" ht="12.75" customHeight="1" x14ac:dyDescent="0.3"/>
    <row r="441" s="25" customFormat="1" ht="12.75" customHeight="1" x14ac:dyDescent="0.3"/>
    <row r="442" s="25" customFormat="1" ht="12.75" customHeight="1" x14ac:dyDescent="0.3"/>
    <row r="443" s="25" customFormat="1" ht="12.75" customHeight="1" x14ac:dyDescent="0.3"/>
    <row r="444" s="25" customFormat="1" ht="12.75" customHeight="1" x14ac:dyDescent="0.3"/>
    <row r="445" s="25" customFormat="1" ht="12.75" customHeight="1" x14ac:dyDescent="0.3"/>
    <row r="446" s="25" customFormat="1" ht="12.75" customHeight="1" x14ac:dyDescent="0.3"/>
    <row r="447" s="25" customFormat="1" ht="12.75" customHeight="1" x14ac:dyDescent="0.3"/>
    <row r="448" s="25" customFormat="1" ht="12.75" customHeight="1" x14ac:dyDescent="0.3"/>
    <row r="449" s="25" customFormat="1" ht="12.75" customHeight="1" x14ac:dyDescent="0.3"/>
    <row r="450" s="25" customFormat="1" ht="12.75" customHeight="1" x14ac:dyDescent="0.3"/>
    <row r="451" s="25" customFormat="1" ht="12.75" customHeight="1" x14ac:dyDescent="0.3"/>
    <row r="452" s="25" customFormat="1" ht="12.75" customHeight="1" x14ac:dyDescent="0.3"/>
    <row r="453" s="25" customFormat="1" ht="12.75" customHeight="1" x14ac:dyDescent="0.3"/>
    <row r="454" s="25" customFormat="1" ht="12.75" customHeight="1" x14ac:dyDescent="0.3"/>
    <row r="455" s="25" customFormat="1" ht="12.75" customHeight="1" x14ac:dyDescent="0.3"/>
    <row r="456" s="25" customFormat="1" ht="12.75" customHeight="1" x14ac:dyDescent="0.3"/>
    <row r="457" s="25" customFormat="1" ht="12.75" customHeight="1" x14ac:dyDescent="0.3"/>
    <row r="458" s="25" customFormat="1" ht="12.75" customHeight="1" x14ac:dyDescent="0.3"/>
    <row r="459" s="25" customFormat="1" ht="12.75" customHeight="1" x14ac:dyDescent="0.3"/>
    <row r="460" s="25" customFormat="1" ht="12.75" customHeight="1" x14ac:dyDescent="0.3"/>
    <row r="461" s="25" customFormat="1" ht="12.75" customHeight="1" x14ac:dyDescent="0.3"/>
    <row r="462" s="25" customFormat="1" ht="12.75" customHeight="1" x14ac:dyDescent="0.3"/>
    <row r="463" s="25" customFormat="1" ht="12.75" customHeight="1" x14ac:dyDescent="0.3"/>
    <row r="464" s="25" customFormat="1" ht="12.75" customHeight="1" x14ac:dyDescent="0.3"/>
    <row r="465" s="25" customFormat="1" ht="12.75" customHeight="1" x14ac:dyDescent="0.3"/>
    <row r="466" s="25" customFormat="1" ht="12.75" customHeight="1" x14ac:dyDescent="0.3"/>
    <row r="467" s="25" customFormat="1" ht="12.75" customHeight="1" x14ac:dyDescent="0.3"/>
    <row r="468" s="25" customFormat="1" ht="12.75" customHeight="1" x14ac:dyDescent="0.3"/>
    <row r="469" s="25" customFormat="1" ht="12.75" customHeight="1" x14ac:dyDescent="0.3"/>
    <row r="470" s="25" customFormat="1" ht="12.75" customHeight="1" x14ac:dyDescent="0.3"/>
    <row r="471" s="25" customFormat="1" ht="12.75" customHeight="1" x14ac:dyDescent="0.3"/>
    <row r="472" s="25" customFormat="1" ht="12.75" customHeight="1" x14ac:dyDescent="0.3"/>
    <row r="473" s="25" customFormat="1" ht="12.75" customHeight="1" x14ac:dyDescent="0.3"/>
    <row r="474" s="25" customFormat="1" ht="12.75" customHeight="1" x14ac:dyDescent="0.3"/>
    <row r="475" s="25" customFormat="1" ht="12.75" customHeight="1" x14ac:dyDescent="0.3"/>
    <row r="476" s="25" customFormat="1" ht="12.75" customHeight="1" x14ac:dyDescent="0.3"/>
    <row r="477" s="25" customFormat="1" ht="12.75" customHeight="1" x14ac:dyDescent="0.3"/>
    <row r="478" s="25" customFormat="1" ht="12.75" customHeight="1" x14ac:dyDescent="0.3"/>
    <row r="479" s="25" customFormat="1" ht="12.75" customHeight="1" x14ac:dyDescent="0.3"/>
    <row r="480" s="25" customFormat="1" ht="12.75" customHeight="1" x14ac:dyDescent="0.3"/>
    <row r="481" s="25" customFormat="1" ht="12.75" customHeight="1" x14ac:dyDescent="0.3"/>
    <row r="482" s="25" customFormat="1" ht="12.75" customHeight="1" x14ac:dyDescent="0.3"/>
    <row r="483" s="25" customFormat="1" ht="12.75" customHeight="1" x14ac:dyDescent="0.3"/>
    <row r="484" s="25" customFormat="1" ht="12.75" customHeight="1" x14ac:dyDescent="0.3"/>
    <row r="485" s="25" customFormat="1" ht="12.75" customHeight="1" x14ac:dyDescent="0.3"/>
    <row r="486" s="25" customFormat="1" ht="12.75" customHeight="1" x14ac:dyDescent="0.3"/>
    <row r="487" s="25" customFormat="1" ht="12.75" customHeight="1" x14ac:dyDescent="0.3"/>
    <row r="488" s="25" customFormat="1" ht="12.75" customHeight="1" x14ac:dyDescent="0.3"/>
    <row r="489" s="25" customFormat="1" ht="12.75" customHeight="1" x14ac:dyDescent="0.3"/>
    <row r="490" s="25" customFormat="1" ht="12.75" customHeight="1" x14ac:dyDescent="0.3"/>
    <row r="491" s="25" customFormat="1" ht="12.75" customHeight="1" x14ac:dyDescent="0.3"/>
    <row r="492" s="25" customFormat="1" ht="12.75" customHeight="1" x14ac:dyDescent="0.3"/>
    <row r="493" s="25" customFormat="1" ht="12.75" customHeight="1" x14ac:dyDescent="0.3"/>
    <row r="494" s="25" customFormat="1" ht="12.75" customHeight="1" x14ac:dyDescent="0.3"/>
    <row r="495" s="25" customFormat="1" ht="12.75" customHeight="1" x14ac:dyDescent="0.3"/>
    <row r="496" s="25" customFormat="1" ht="12.75" customHeight="1" x14ac:dyDescent="0.3"/>
    <row r="497" s="25" customFormat="1" ht="12.75" customHeight="1" x14ac:dyDescent="0.3"/>
    <row r="498" s="25" customFormat="1" ht="12.75" customHeight="1" x14ac:dyDescent="0.3"/>
    <row r="499" s="25" customFormat="1" ht="12.75" customHeight="1" x14ac:dyDescent="0.3"/>
    <row r="500" s="25" customFormat="1" ht="12.75" customHeight="1" x14ac:dyDescent="0.3"/>
    <row r="501" s="25" customFormat="1" ht="12.75" customHeight="1" x14ac:dyDescent="0.3"/>
    <row r="502" s="25" customFormat="1" ht="12.75" customHeight="1" x14ac:dyDescent="0.3"/>
    <row r="503" s="25" customFormat="1" ht="12.75" customHeight="1" x14ac:dyDescent="0.3"/>
    <row r="504" s="25" customFormat="1" ht="12.75" customHeight="1" x14ac:dyDescent="0.3"/>
    <row r="505" s="25" customFormat="1" ht="12.75" customHeight="1" x14ac:dyDescent="0.3"/>
    <row r="506" s="25" customFormat="1" ht="12.75" customHeight="1" x14ac:dyDescent="0.3"/>
    <row r="507" s="25" customFormat="1" ht="12.75" customHeight="1" x14ac:dyDescent="0.3"/>
    <row r="508" s="25" customFormat="1" ht="12.75" customHeight="1" x14ac:dyDescent="0.3"/>
    <row r="509" s="25" customFormat="1" ht="12.75" customHeight="1" x14ac:dyDescent="0.3"/>
    <row r="510" s="25" customFormat="1" ht="12.75" customHeight="1" x14ac:dyDescent="0.3"/>
    <row r="511" s="25" customFormat="1" ht="12.75" customHeight="1" x14ac:dyDescent="0.3"/>
    <row r="512" s="25" customFormat="1" ht="12.75" customHeight="1" x14ac:dyDescent="0.3"/>
    <row r="513" s="25" customFormat="1" ht="12.75" customHeight="1" x14ac:dyDescent="0.3"/>
    <row r="514" s="25" customFormat="1" ht="12.75" customHeight="1" x14ac:dyDescent="0.3"/>
    <row r="515" s="25" customFormat="1" ht="12.75" customHeight="1" x14ac:dyDescent="0.3"/>
    <row r="516" s="25" customFormat="1" ht="12.75" customHeight="1" x14ac:dyDescent="0.3"/>
    <row r="517" s="25" customFormat="1" ht="12.75" customHeight="1" x14ac:dyDescent="0.3"/>
    <row r="518" s="25" customFormat="1" ht="12.75" customHeight="1" x14ac:dyDescent="0.3"/>
    <row r="519" s="25" customFormat="1" ht="12.75" customHeight="1" x14ac:dyDescent="0.3"/>
    <row r="520" s="25" customFormat="1" ht="12.75" customHeight="1" x14ac:dyDescent="0.3"/>
    <row r="521" s="25" customFormat="1" ht="12.75" customHeight="1" x14ac:dyDescent="0.3"/>
    <row r="522" s="25" customFormat="1" ht="12.75" customHeight="1" x14ac:dyDescent="0.3"/>
    <row r="523" s="25" customFormat="1" ht="12.75" customHeight="1" x14ac:dyDescent="0.3"/>
    <row r="524" s="25" customFormat="1" ht="12.75" customHeight="1" x14ac:dyDescent="0.3"/>
    <row r="525" s="25" customFormat="1" ht="12.75" customHeight="1" x14ac:dyDescent="0.3"/>
    <row r="526" s="25" customFormat="1" ht="12.75" customHeight="1" x14ac:dyDescent="0.3"/>
    <row r="527" s="25" customFormat="1" ht="12.75" customHeight="1" x14ac:dyDescent="0.3"/>
    <row r="528" s="25" customFormat="1" ht="12.75" customHeight="1" x14ac:dyDescent="0.3"/>
    <row r="529" s="25" customFormat="1" ht="12.75" customHeight="1" x14ac:dyDescent="0.3"/>
    <row r="530" s="25" customFormat="1" ht="12.75" customHeight="1" x14ac:dyDescent="0.3"/>
    <row r="531" s="25" customFormat="1" ht="12.75" customHeight="1" x14ac:dyDescent="0.3"/>
    <row r="532" s="25" customFormat="1" ht="12.75" customHeight="1" x14ac:dyDescent="0.3"/>
    <row r="533" s="25" customFormat="1" ht="12.75" customHeight="1" x14ac:dyDescent="0.3"/>
    <row r="534" s="25" customFormat="1" ht="12.75" customHeight="1" x14ac:dyDescent="0.3"/>
    <row r="535" s="25" customFormat="1" ht="12.75" customHeight="1" x14ac:dyDescent="0.3"/>
    <row r="536" s="25" customFormat="1" ht="12.75" customHeight="1" x14ac:dyDescent="0.3"/>
    <row r="537" s="25" customFormat="1" ht="12.75" customHeight="1" x14ac:dyDescent="0.3"/>
    <row r="538" s="25" customFormat="1" ht="12.75" customHeight="1" x14ac:dyDescent="0.3"/>
    <row r="539" s="25" customFormat="1" ht="12.75" customHeight="1" x14ac:dyDescent="0.3"/>
    <row r="540" s="25" customFormat="1" ht="12.75" customHeight="1" x14ac:dyDescent="0.3"/>
    <row r="541" s="25" customFormat="1" ht="12.75" customHeight="1" x14ac:dyDescent="0.3"/>
    <row r="542" s="25" customFormat="1" ht="12.75" customHeight="1" x14ac:dyDescent="0.3"/>
    <row r="543" s="25" customFormat="1" ht="12.75" customHeight="1" x14ac:dyDescent="0.3"/>
    <row r="544" s="25" customFormat="1" ht="12.75" customHeight="1" x14ac:dyDescent="0.3"/>
    <row r="545" s="25" customFormat="1" ht="12.75" customHeight="1" x14ac:dyDescent="0.3"/>
    <row r="546" s="25" customFormat="1" ht="12.75" customHeight="1" x14ac:dyDescent="0.3"/>
    <row r="547" s="25" customFormat="1" ht="12.75" customHeight="1" x14ac:dyDescent="0.3"/>
    <row r="548" s="25" customFormat="1" ht="12.75" customHeight="1" x14ac:dyDescent="0.3"/>
    <row r="549" s="25" customFormat="1" ht="12.75" customHeight="1" x14ac:dyDescent="0.3"/>
    <row r="550" s="25" customFormat="1" ht="12.75" customHeight="1" x14ac:dyDescent="0.3"/>
    <row r="551" s="25" customFormat="1" ht="12.75" customHeight="1" x14ac:dyDescent="0.3"/>
    <row r="552" s="25" customFormat="1" ht="12.75" customHeight="1" x14ac:dyDescent="0.3"/>
    <row r="553" s="25" customFormat="1" ht="12.75" customHeight="1" x14ac:dyDescent="0.3"/>
    <row r="554" s="25" customFormat="1" ht="12.75" customHeight="1" x14ac:dyDescent="0.3"/>
    <row r="555" s="25" customFormat="1" ht="12.75" customHeight="1" x14ac:dyDescent="0.3"/>
    <row r="556" s="25" customFormat="1" ht="12.75" customHeight="1" x14ac:dyDescent="0.3"/>
    <row r="557" s="25" customFormat="1" ht="12.75" customHeight="1" x14ac:dyDescent="0.3"/>
    <row r="558" s="25" customFormat="1" ht="12.75" customHeight="1" x14ac:dyDescent="0.3"/>
    <row r="559" s="25" customFormat="1" ht="12.75" customHeight="1" x14ac:dyDescent="0.3"/>
    <row r="560" s="25" customFormat="1" ht="12.75" customHeight="1" x14ac:dyDescent="0.3"/>
    <row r="561" s="25" customFormat="1" ht="12.75" customHeight="1" x14ac:dyDescent="0.3"/>
    <row r="562" s="25" customFormat="1" ht="12.75" customHeight="1" x14ac:dyDescent="0.3"/>
    <row r="563" s="25" customFormat="1" ht="12.75" customHeight="1" x14ac:dyDescent="0.3"/>
    <row r="564" s="25" customFormat="1" ht="12.75" customHeight="1" x14ac:dyDescent="0.3"/>
    <row r="565" s="25" customFormat="1" ht="12.75" customHeight="1" x14ac:dyDescent="0.3"/>
    <row r="566" s="25" customFormat="1" ht="12.75" customHeight="1" x14ac:dyDescent="0.3"/>
    <row r="567" s="25" customFormat="1" ht="12.75" customHeight="1" x14ac:dyDescent="0.3"/>
    <row r="568" s="25" customFormat="1" ht="12.75" customHeight="1" x14ac:dyDescent="0.3"/>
    <row r="569" s="25" customFormat="1" ht="12.75" customHeight="1" x14ac:dyDescent="0.3"/>
    <row r="570" s="25" customFormat="1" ht="12.75" customHeight="1" x14ac:dyDescent="0.3"/>
    <row r="571" s="25" customFormat="1" ht="12.75" customHeight="1" x14ac:dyDescent="0.3"/>
    <row r="572" s="25" customFormat="1" ht="12.75" customHeight="1" x14ac:dyDescent="0.3"/>
    <row r="573" s="25" customFormat="1" ht="12.75" customHeight="1" x14ac:dyDescent="0.3"/>
    <row r="574" s="25" customFormat="1" ht="12.75" customHeight="1" x14ac:dyDescent="0.3"/>
    <row r="575" s="25" customFormat="1" ht="12.75" customHeight="1" x14ac:dyDescent="0.3"/>
    <row r="576" s="25" customFormat="1" ht="12.75" customHeight="1" x14ac:dyDescent="0.3"/>
    <row r="577" s="25" customFormat="1" ht="12.75" customHeight="1" x14ac:dyDescent="0.3"/>
    <row r="578" s="25" customFormat="1" ht="12.75" customHeight="1" x14ac:dyDescent="0.3"/>
    <row r="579" s="25" customFormat="1" ht="12.75" customHeight="1" x14ac:dyDescent="0.3"/>
    <row r="580" s="25" customFormat="1" ht="12.75" customHeight="1" x14ac:dyDescent="0.3"/>
    <row r="581" s="25" customFormat="1" ht="12.75" customHeight="1" x14ac:dyDescent="0.3"/>
    <row r="582" s="25" customFormat="1" ht="12.75" customHeight="1" x14ac:dyDescent="0.3"/>
    <row r="583" s="25" customFormat="1" ht="12.75" customHeight="1" x14ac:dyDescent="0.3"/>
    <row r="584" s="25" customFormat="1" ht="12.75" customHeight="1" x14ac:dyDescent="0.3"/>
    <row r="585" s="25" customFormat="1" ht="12.75" customHeight="1" x14ac:dyDescent="0.3"/>
    <row r="586" s="25" customFormat="1" ht="12.75" customHeight="1" x14ac:dyDescent="0.3"/>
    <row r="587" s="25" customFormat="1" ht="12.75" customHeight="1" x14ac:dyDescent="0.3"/>
    <row r="588" s="25" customFormat="1" ht="12.75" customHeight="1" x14ac:dyDescent="0.3"/>
    <row r="589" s="25" customFormat="1" ht="12.75" customHeight="1" x14ac:dyDescent="0.3"/>
    <row r="590" s="25" customFormat="1" ht="12.75" customHeight="1" x14ac:dyDescent="0.3"/>
    <row r="591" s="25" customFormat="1" ht="12.75" customHeight="1" x14ac:dyDescent="0.3"/>
    <row r="592" s="25" customFormat="1" ht="12.75" customHeight="1" x14ac:dyDescent="0.3"/>
    <row r="593" s="25" customFormat="1" ht="12.75" customHeight="1" x14ac:dyDescent="0.3"/>
    <row r="594" s="25" customFormat="1" ht="12.75" customHeight="1" x14ac:dyDescent="0.3"/>
    <row r="595" s="25" customFormat="1" ht="12.75" customHeight="1" x14ac:dyDescent="0.3"/>
    <row r="596" s="25" customFormat="1" ht="12.75" customHeight="1" x14ac:dyDescent="0.3"/>
    <row r="597" s="25" customFormat="1" ht="12.75" customHeight="1" x14ac:dyDescent="0.3"/>
    <row r="598" s="25" customFormat="1" ht="12.75" customHeight="1" x14ac:dyDescent="0.3"/>
    <row r="599" s="25" customFormat="1" ht="12.75" customHeight="1" x14ac:dyDescent="0.3"/>
    <row r="600" s="25" customFormat="1" ht="12.75" customHeight="1" x14ac:dyDescent="0.3"/>
    <row r="601" s="25" customFormat="1" ht="12.75" customHeight="1" x14ac:dyDescent="0.3"/>
    <row r="602" s="25" customFormat="1" ht="12.75" customHeight="1" x14ac:dyDescent="0.3"/>
    <row r="603" s="25" customFormat="1" ht="12.75" customHeight="1" x14ac:dyDescent="0.3"/>
    <row r="604" s="25" customFormat="1" ht="12.75" customHeight="1" x14ac:dyDescent="0.3"/>
    <row r="605" s="25" customFormat="1" ht="12.75" customHeight="1" x14ac:dyDescent="0.3"/>
    <row r="606" s="25" customFormat="1" ht="12.75" customHeight="1" x14ac:dyDescent="0.3"/>
    <row r="607" s="25" customFormat="1" ht="12.75" customHeight="1" x14ac:dyDescent="0.3"/>
    <row r="608" s="25" customFormat="1" ht="12.75" customHeight="1" x14ac:dyDescent="0.3"/>
    <row r="609" s="25" customFormat="1" ht="12.75" customHeight="1" x14ac:dyDescent="0.3"/>
    <row r="610" s="25" customFormat="1" ht="12.75" customHeight="1" x14ac:dyDescent="0.3"/>
    <row r="611" s="25" customFormat="1" ht="12.75" customHeight="1" x14ac:dyDescent="0.3"/>
    <row r="612" s="25" customFormat="1" ht="12.75" customHeight="1" x14ac:dyDescent="0.3"/>
    <row r="613" s="25" customFormat="1" ht="12.75" customHeight="1" x14ac:dyDescent="0.3"/>
    <row r="614" s="25" customFormat="1" ht="12.75" customHeight="1" x14ac:dyDescent="0.3"/>
    <row r="615" s="25" customFormat="1" ht="12.75" customHeight="1" x14ac:dyDescent="0.3"/>
    <row r="616" s="25" customFormat="1" ht="12.75" customHeight="1" x14ac:dyDescent="0.3"/>
    <row r="617" s="25" customFormat="1" ht="12.75" customHeight="1" x14ac:dyDescent="0.3"/>
    <row r="618" s="25" customFormat="1" ht="12.75" customHeight="1" x14ac:dyDescent="0.3"/>
    <row r="619" s="25" customFormat="1" ht="12.75" customHeight="1" x14ac:dyDescent="0.3"/>
    <row r="620" s="25" customFormat="1" ht="12.75" customHeight="1" x14ac:dyDescent="0.3"/>
    <row r="621" s="25" customFormat="1" ht="12.75" customHeight="1" x14ac:dyDescent="0.3"/>
    <row r="622" s="25" customFormat="1" ht="12.75" customHeight="1" x14ac:dyDescent="0.3"/>
    <row r="623" s="25" customFormat="1" ht="12.75" customHeight="1" x14ac:dyDescent="0.3"/>
    <row r="624" s="25" customFormat="1" ht="12.75" customHeight="1" x14ac:dyDescent="0.3"/>
    <row r="625" s="25" customFormat="1" ht="12.75" customHeight="1" x14ac:dyDescent="0.3"/>
    <row r="626" s="25" customFormat="1" ht="12.75" customHeight="1" x14ac:dyDescent="0.3"/>
    <row r="627" s="25" customFormat="1" ht="12.75" customHeight="1" x14ac:dyDescent="0.3"/>
    <row r="628" s="25" customFormat="1" ht="12.75" customHeight="1" x14ac:dyDescent="0.3"/>
    <row r="629" s="25" customFormat="1" ht="12.75" customHeight="1" x14ac:dyDescent="0.3"/>
    <row r="630" s="25" customFormat="1" ht="12.75" customHeight="1" x14ac:dyDescent="0.3"/>
    <row r="631" s="25" customFormat="1" ht="12.75" customHeight="1" x14ac:dyDescent="0.3"/>
    <row r="632" s="25" customFormat="1" ht="12.75" customHeight="1" x14ac:dyDescent="0.3"/>
    <row r="633" s="25" customFormat="1" ht="12.75" customHeight="1" x14ac:dyDescent="0.3"/>
    <row r="634" s="25" customFormat="1" ht="12.75" customHeight="1" x14ac:dyDescent="0.3"/>
    <row r="635" s="25" customFormat="1" ht="12.75" customHeight="1" x14ac:dyDescent="0.3"/>
    <row r="636" s="25" customFormat="1" ht="12.75" customHeight="1" x14ac:dyDescent="0.3"/>
    <row r="637" s="25" customFormat="1" ht="12.75" customHeight="1" x14ac:dyDescent="0.3"/>
    <row r="638" s="25" customFormat="1" ht="12.75" customHeight="1" x14ac:dyDescent="0.3"/>
    <row r="639" s="25" customFormat="1" ht="12.75" customHeight="1" x14ac:dyDescent="0.3"/>
    <row r="640" s="25" customFormat="1" ht="12.75" customHeight="1" x14ac:dyDescent="0.3"/>
    <row r="641" s="25" customFormat="1" ht="12.75" customHeight="1" x14ac:dyDescent="0.3"/>
    <row r="642" s="25" customFormat="1" ht="12.75" customHeight="1" x14ac:dyDescent="0.3"/>
    <row r="643" s="25" customFormat="1" ht="12.75" customHeight="1" x14ac:dyDescent="0.3"/>
    <row r="644" s="25" customFormat="1" ht="12.75" customHeight="1" x14ac:dyDescent="0.3"/>
    <row r="645" s="25" customFormat="1" ht="12.75" customHeight="1" x14ac:dyDescent="0.3"/>
    <row r="646" s="25" customFormat="1" ht="12.75" customHeight="1" x14ac:dyDescent="0.3"/>
    <row r="647" s="25" customFormat="1" ht="12.75" customHeight="1" x14ac:dyDescent="0.3"/>
    <row r="648" s="25" customFormat="1" ht="12.75" customHeight="1" x14ac:dyDescent="0.3"/>
    <row r="649" s="25" customFormat="1" ht="12.75" customHeight="1" x14ac:dyDescent="0.3"/>
    <row r="650" s="25" customFormat="1" ht="12.75" customHeight="1" x14ac:dyDescent="0.3"/>
    <row r="651" s="25" customFormat="1" ht="12.75" customHeight="1" x14ac:dyDescent="0.3"/>
    <row r="652" s="25" customFormat="1" ht="12.75" customHeight="1" x14ac:dyDescent="0.3"/>
    <row r="653" s="25" customFormat="1" ht="12.75" customHeight="1" x14ac:dyDescent="0.3"/>
    <row r="654" s="25" customFormat="1" ht="12.75" customHeight="1" x14ac:dyDescent="0.3"/>
    <row r="655" s="25" customFormat="1" ht="12.75" customHeight="1" x14ac:dyDescent="0.3"/>
    <row r="656" s="25" customFormat="1" ht="12.75" customHeight="1" x14ac:dyDescent="0.3"/>
    <row r="657" s="25" customFormat="1" ht="12.75" customHeight="1" x14ac:dyDescent="0.3"/>
    <row r="658" s="25" customFormat="1" ht="12.75" customHeight="1" x14ac:dyDescent="0.3"/>
    <row r="659" s="25" customFormat="1" ht="12.75" customHeight="1" x14ac:dyDescent="0.3"/>
    <row r="660" s="25" customFormat="1" ht="12.75" customHeight="1" x14ac:dyDescent="0.3"/>
    <row r="661" s="25" customFormat="1" ht="12.75" customHeight="1" x14ac:dyDescent="0.3"/>
    <row r="662" s="25" customFormat="1" ht="12.75" customHeight="1" x14ac:dyDescent="0.3"/>
    <row r="663" s="25" customFormat="1" ht="12.75" customHeight="1" x14ac:dyDescent="0.3"/>
    <row r="664" s="25" customFormat="1" ht="12.75" customHeight="1" x14ac:dyDescent="0.3"/>
    <row r="665" s="25" customFormat="1" ht="12.75" customHeight="1" x14ac:dyDescent="0.3"/>
    <row r="666" s="25" customFormat="1" ht="12.75" customHeight="1" x14ac:dyDescent="0.3"/>
    <row r="667" s="25" customFormat="1" ht="12.75" customHeight="1" x14ac:dyDescent="0.3"/>
    <row r="668" s="25" customFormat="1" ht="12.75" customHeight="1" x14ac:dyDescent="0.3"/>
    <row r="669" s="25" customFormat="1" ht="12.75" customHeight="1" x14ac:dyDescent="0.3"/>
    <row r="670" s="25" customFormat="1" ht="12.75" customHeight="1" x14ac:dyDescent="0.3"/>
    <row r="671" s="25" customFormat="1" ht="12.75" customHeight="1" x14ac:dyDescent="0.3"/>
    <row r="672" s="25" customFormat="1" ht="12.75" customHeight="1" x14ac:dyDescent="0.3"/>
    <row r="673" s="25" customFormat="1" ht="12.75" customHeight="1" x14ac:dyDescent="0.3"/>
    <row r="674" s="25" customFormat="1" ht="12.75" customHeight="1" x14ac:dyDescent="0.3"/>
    <row r="675" s="25" customFormat="1" ht="12.75" customHeight="1" x14ac:dyDescent="0.3"/>
    <row r="676" s="25" customFormat="1" ht="12.75" customHeight="1" x14ac:dyDescent="0.3"/>
    <row r="677" s="25" customFormat="1" ht="12.75" customHeight="1" x14ac:dyDescent="0.3"/>
    <row r="678" s="25" customFormat="1" ht="12.75" customHeight="1" x14ac:dyDescent="0.3"/>
    <row r="679" s="25" customFormat="1" ht="12.75" customHeight="1" x14ac:dyDescent="0.3"/>
    <row r="680" s="25" customFormat="1" ht="12.75" customHeight="1" x14ac:dyDescent="0.3"/>
    <row r="681" s="25" customFormat="1" ht="12.75" customHeight="1" x14ac:dyDescent="0.3"/>
    <row r="682" s="25" customFormat="1" ht="12.75" customHeight="1" x14ac:dyDescent="0.3"/>
    <row r="683" s="25" customFormat="1" ht="12.75" customHeight="1" x14ac:dyDescent="0.3"/>
    <row r="684" s="25" customFormat="1" ht="12.75" customHeight="1" x14ac:dyDescent="0.3"/>
    <row r="685" s="25" customFormat="1" ht="12.75" customHeight="1" x14ac:dyDescent="0.3"/>
    <row r="686" s="25" customFormat="1" ht="12.75" customHeight="1" x14ac:dyDescent="0.3"/>
    <row r="687" s="25" customFormat="1" ht="12.75" customHeight="1" x14ac:dyDescent="0.3"/>
    <row r="688" s="25" customFormat="1" ht="12.75" customHeight="1" x14ac:dyDescent="0.3"/>
    <row r="689" s="25" customFormat="1" ht="12.75" customHeight="1" x14ac:dyDescent="0.3"/>
    <row r="690" s="25" customFormat="1" ht="12.75" customHeight="1" x14ac:dyDescent="0.3"/>
    <row r="691" s="25" customFormat="1" ht="12.75" customHeight="1" x14ac:dyDescent="0.3"/>
    <row r="692" s="25" customFormat="1" ht="12.75" customHeight="1" x14ac:dyDescent="0.3"/>
    <row r="693" s="25" customFormat="1" ht="12.75" customHeight="1" x14ac:dyDescent="0.3"/>
    <row r="694" s="25" customFormat="1" ht="12.75" customHeight="1" x14ac:dyDescent="0.3"/>
    <row r="695" s="25" customFormat="1" ht="12.75" customHeight="1" x14ac:dyDescent="0.3"/>
    <row r="696" s="25" customFormat="1" ht="12.75" customHeight="1" x14ac:dyDescent="0.3"/>
    <row r="697" s="25" customFormat="1" ht="12.75" customHeight="1" x14ac:dyDescent="0.3"/>
    <row r="698" s="25" customFormat="1" ht="12.75" customHeight="1" x14ac:dyDescent="0.3"/>
    <row r="699" s="25" customFormat="1" ht="12.75" customHeight="1" x14ac:dyDescent="0.3"/>
    <row r="700" s="25" customFormat="1" ht="12.75" customHeight="1" x14ac:dyDescent="0.3"/>
    <row r="701" s="25" customFormat="1" ht="12.75" customHeight="1" x14ac:dyDescent="0.3"/>
    <row r="702" s="25" customFormat="1" ht="12.75" customHeight="1" x14ac:dyDescent="0.3"/>
    <row r="703" s="25" customFormat="1" ht="12.75" customHeight="1" x14ac:dyDescent="0.3"/>
    <row r="704" s="25" customFormat="1" ht="12.75" customHeight="1" x14ac:dyDescent="0.3"/>
    <row r="705" s="25" customFormat="1" ht="12.75" customHeight="1" x14ac:dyDescent="0.3"/>
    <row r="706" s="25" customFormat="1" ht="12.75" customHeight="1" x14ac:dyDescent="0.3"/>
    <row r="707" s="25" customFormat="1" ht="12.75" customHeight="1" x14ac:dyDescent="0.3"/>
    <row r="708" s="25" customFormat="1" ht="12.75" customHeight="1" x14ac:dyDescent="0.3"/>
    <row r="709" s="25" customFormat="1" ht="12.75" customHeight="1" x14ac:dyDescent="0.3"/>
    <row r="710" s="25" customFormat="1" ht="12.75" customHeight="1" x14ac:dyDescent="0.3"/>
    <row r="711" s="25" customFormat="1" ht="12.75" customHeight="1" x14ac:dyDescent="0.3"/>
    <row r="712" s="25" customFormat="1" ht="12.75" customHeight="1" x14ac:dyDescent="0.3"/>
    <row r="713" s="25" customFormat="1" ht="12.75" customHeight="1" x14ac:dyDescent="0.3"/>
    <row r="714" s="25" customFormat="1" ht="12.75" customHeight="1" x14ac:dyDescent="0.3"/>
    <row r="715" s="25" customFormat="1" ht="12.75" customHeight="1" x14ac:dyDescent="0.3"/>
    <row r="716" s="25" customFormat="1" ht="12.75" customHeight="1" x14ac:dyDescent="0.3"/>
    <row r="717" s="25" customFormat="1" ht="12.75" customHeight="1" x14ac:dyDescent="0.3"/>
    <row r="718" s="25" customFormat="1" ht="12.75" customHeight="1" x14ac:dyDescent="0.3"/>
    <row r="719" s="25" customFormat="1" ht="12.75" customHeight="1" x14ac:dyDescent="0.3"/>
    <row r="720" s="25" customFormat="1" ht="12.75" customHeight="1" x14ac:dyDescent="0.3"/>
    <row r="721" s="25" customFormat="1" ht="12.75" customHeight="1" x14ac:dyDescent="0.3"/>
    <row r="722" s="25" customFormat="1" ht="12.75" customHeight="1" x14ac:dyDescent="0.3"/>
    <row r="723" s="25" customFormat="1" ht="12.75" customHeight="1" x14ac:dyDescent="0.3"/>
    <row r="724" s="25" customFormat="1" ht="12.75" customHeight="1" x14ac:dyDescent="0.3"/>
    <row r="725" s="25" customFormat="1" ht="12.75" customHeight="1" x14ac:dyDescent="0.3"/>
    <row r="726" s="25" customFormat="1" ht="12.75" customHeight="1" x14ac:dyDescent="0.3"/>
    <row r="727" s="25" customFormat="1" ht="12.75" customHeight="1" x14ac:dyDescent="0.3"/>
    <row r="728" s="25" customFormat="1" ht="12.75" customHeight="1" x14ac:dyDescent="0.3"/>
    <row r="729" s="25" customFormat="1" ht="12.75" customHeight="1" x14ac:dyDescent="0.3"/>
    <row r="730" s="25" customFormat="1" ht="12.75" customHeight="1" x14ac:dyDescent="0.3"/>
    <row r="731" s="25" customFormat="1" ht="12.75" customHeight="1" x14ac:dyDescent="0.3"/>
    <row r="732" s="25" customFormat="1" ht="12.75" customHeight="1" x14ac:dyDescent="0.3"/>
    <row r="733" s="25" customFormat="1" ht="12.75" customHeight="1" x14ac:dyDescent="0.3"/>
    <row r="734" s="25" customFormat="1" ht="12.75" customHeight="1" x14ac:dyDescent="0.3"/>
    <row r="735" s="25" customFormat="1" ht="12.75" customHeight="1" x14ac:dyDescent="0.3"/>
    <row r="736" s="25" customFormat="1" ht="12.75" customHeight="1" x14ac:dyDescent="0.3"/>
    <row r="737" s="25" customFormat="1" ht="12.75" customHeight="1" x14ac:dyDescent="0.3"/>
    <row r="738" s="25" customFormat="1" ht="12.75" customHeight="1" x14ac:dyDescent="0.3"/>
    <row r="739" s="25" customFormat="1" ht="12.75" customHeight="1" x14ac:dyDescent="0.3"/>
    <row r="740" s="25" customFormat="1" ht="12.75" customHeight="1" x14ac:dyDescent="0.3"/>
    <row r="741" s="25" customFormat="1" ht="12.75" customHeight="1" x14ac:dyDescent="0.3"/>
    <row r="742" s="25" customFormat="1" ht="12.75" customHeight="1" x14ac:dyDescent="0.3"/>
    <row r="743" s="25" customFormat="1" ht="12.75" customHeight="1" x14ac:dyDescent="0.3"/>
    <row r="744" s="25" customFormat="1" ht="12.75" customHeight="1" x14ac:dyDescent="0.3"/>
    <row r="745" s="25" customFormat="1" ht="12.75" customHeight="1" x14ac:dyDescent="0.3"/>
    <row r="746" s="25" customFormat="1" ht="12.75" customHeight="1" x14ac:dyDescent="0.3"/>
    <row r="747" s="25" customFormat="1" ht="12.75" customHeight="1" x14ac:dyDescent="0.3"/>
    <row r="748" s="25" customFormat="1" ht="12.75" customHeight="1" x14ac:dyDescent="0.3"/>
    <row r="749" s="25" customFormat="1" ht="12.75" customHeight="1" x14ac:dyDescent="0.3"/>
    <row r="750" s="25" customFormat="1" ht="12.75" customHeight="1" x14ac:dyDescent="0.3"/>
    <row r="751" s="25" customFormat="1" ht="12.75" customHeight="1" x14ac:dyDescent="0.3"/>
    <row r="752" s="25" customFormat="1" ht="12.75" customHeight="1" x14ac:dyDescent="0.3"/>
    <row r="753" s="25" customFormat="1" ht="12.75" customHeight="1" x14ac:dyDescent="0.3"/>
    <row r="754" s="25" customFormat="1" ht="12.75" customHeight="1" x14ac:dyDescent="0.3"/>
    <row r="755" s="25" customFormat="1" ht="12.75" customHeight="1" x14ac:dyDescent="0.3"/>
    <row r="756" s="25" customFormat="1" ht="12.75" customHeight="1" x14ac:dyDescent="0.3"/>
    <row r="757" s="25" customFormat="1" ht="12.75" customHeight="1" x14ac:dyDescent="0.3"/>
    <row r="758" s="25" customFormat="1" ht="12.75" customHeight="1" x14ac:dyDescent="0.3"/>
    <row r="759" s="25" customFormat="1" ht="12.75" customHeight="1" x14ac:dyDescent="0.3"/>
    <row r="760" s="25" customFormat="1" ht="12.75" customHeight="1" x14ac:dyDescent="0.3"/>
    <row r="761" s="25" customFormat="1" ht="12.75" customHeight="1" x14ac:dyDescent="0.3"/>
    <row r="762" s="25" customFormat="1" ht="12.75" customHeight="1" x14ac:dyDescent="0.3"/>
    <row r="763" s="25" customFormat="1" ht="12.75" customHeight="1" x14ac:dyDescent="0.3"/>
    <row r="764" s="25" customFormat="1" ht="12.75" customHeight="1" x14ac:dyDescent="0.3"/>
    <row r="765" s="25" customFormat="1" ht="12.75" customHeight="1" x14ac:dyDescent="0.3"/>
    <row r="766" s="25" customFormat="1" ht="12.75" customHeight="1" x14ac:dyDescent="0.3"/>
    <row r="767" s="25" customFormat="1" ht="12.75" customHeight="1" x14ac:dyDescent="0.3"/>
    <row r="768" s="25" customFormat="1" ht="12.75" customHeight="1" x14ac:dyDescent="0.3"/>
    <row r="769" s="25" customFormat="1" ht="12.75" customHeight="1" x14ac:dyDescent="0.3"/>
    <row r="770" s="25" customFormat="1" ht="12.75" customHeight="1" x14ac:dyDescent="0.3"/>
    <row r="771" s="25" customFormat="1" ht="12.75" customHeight="1" x14ac:dyDescent="0.3"/>
    <row r="772" s="25" customFormat="1" ht="12.75" customHeight="1" x14ac:dyDescent="0.3"/>
    <row r="773" s="25" customFormat="1" ht="12.75" customHeight="1" x14ac:dyDescent="0.3"/>
    <row r="774" s="25" customFormat="1" ht="12.75" customHeight="1" x14ac:dyDescent="0.3"/>
    <row r="775" s="25" customFormat="1" ht="12.75" customHeight="1" x14ac:dyDescent="0.3"/>
    <row r="776" s="25" customFormat="1" ht="12.75" customHeight="1" x14ac:dyDescent="0.3"/>
    <row r="777" s="25" customFormat="1" ht="12.75" customHeight="1" x14ac:dyDescent="0.3"/>
    <row r="778" s="25" customFormat="1" ht="12.75" customHeight="1" x14ac:dyDescent="0.3"/>
    <row r="779" s="25" customFormat="1" ht="12.75" customHeight="1" x14ac:dyDescent="0.3"/>
    <row r="780" s="25" customFormat="1" ht="12.75" customHeight="1" x14ac:dyDescent="0.3"/>
    <row r="781" s="25" customFormat="1" ht="12.75" customHeight="1" x14ac:dyDescent="0.3"/>
    <row r="782" s="25" customFormat="1" ht="12.75" customHeight="1" x14ac:dyDescent="0.3"/>
    <row r="783" s="25" customFormat="1" ht="12.75" customHeight="1" x14ac:dyDescent="0.3"/>
    <row r="784" s="25" customFormat="1" ht="12.75" customHeight="1" x14ac:dyDescent="0.3"/>
    <row r="785" s="25" customFormat="1" ht="12.75" customHeight="1" x14ac:dyDescent="0.3"/>
    <row r="786" s="25" customFormat="1" ht="12.75" customHeight="1" x14ac:dyDescent="0.3"/>
    <row r="787" s="25" customFormat="1" ht="12.75" customHeight="1" x14ac:dyDescent="0.3"/>
    <row r="788" s="25" customFormat="1" ht="12.75" customHeight="1" x14ac:dyDescent="0.3"/>
    <row r="789" s="25" customFormat="1" ht="12.75" customHeight="1" x14ac:dyDescent="0.3"/>
    <row r="790" s="25" customFormat="1" ht="12.75" customHeight="1" x14ac:dyDescent="0.3"/>
    <row r="791" s="25" customFormat="1" ht="12.75" customHeight="1" x14ac:dyDescent="0.3"/>
    <row r="792" s="25" customFormat="1" ht="12.75" customHeight="1" x14ac:dyDescent="0.3"/>
    <row r="793" s="25" customFormat="1" ht="12.75" customHeight="1" x14ac:dyDescent="0.3"/>
    <row r="794" s="25" customFormat="1" ht="12.75" customHeight="1" x14ac:dyDescent="0.3"/>
    <row r="795" s="25" customFormat="1" ht="12.75" customHeight="1" x14ac:dyDescent="0.3"/>
    <row r="796" s="25" customFormat="1" ht="12.75" customHeight="1" x14ac:dyDescent="0.3"/>
    <row r="797" s="25" customFormat="1" ht="12.75" customHeight="1" x14ac:dyDescent="0.3"/>
    <row r="798" s="25" customFormat="1" ht="12.75" customHeight="1" x14ac:dyDescent="0.3"/>
    <row r="799" s="25" customFormat="1" ht="12.75" customHeight="1" x14ac:dyDescent="0.3"/>
    <row r="800" s="25" customFormat="1" ht="12.75" customHeight="1" x14ac:dyDescent="0.3"/>
    <row r="801" s="25" customFormat="1" ht="12.75" customHeight="1" x14ac:dyDescent="0.3"/>
    <row r="802" s="25" customFormat="1" ht="12.75" customHeight="1" x14ac:dyDescent="0.3"/>
    <row r="803" s="25" customFormat="1" ht="12.75" customHeight="1" x14ac:dyDescent="0.3"/>
    <row r="804" s="25" customFormat="1" ht="12.75" customHeight="1" x14ac:dyDescent="0.3"/>
    <row r="805" s="25" customFormat="1" ht="12.75" customHeight="1" x14ac:dyDescent="0.3"/>
    <row r="806" s="25" customFormat="1" ht="12.75" customHeight="1" x14ac:dyDescent="0.3"/>
    <row r="807" s="25" customFormat="1" ht="12.75" customHeight="1" x14ac:dyDescent="0.3"/>
    <row r="808" s="25" customFormat="1" ht="12.75" customHeight="1" x14ac:dyDescent="0.3"/>
    <row r="809" s="25" customFormat="1" ht="12.75" customHeight="1" x14ac:dyDescent="0.3"/>
    <row r="810" s="25" customFormat="1" ht="12.75" customHeight="1" x14ac:dyDescent="0.3"/>
    <row r="811" s="25" customFormat="1" ht="12.75" customHeight="1" x14ac:dyDescent="0.3"/>
    <row r="812" s="25" customFormat="1" ht="12.75" customHeight="1" x14ac:dyDescent="0.3"/>
    <row r="813" s="25" customFormat="1" ht="12.75" customHeight="1" x14ac:dyDescent="0.3"/>
    <row r="814" s="25" customFormat="1" ht="12.75" customHeight="1" x14ac:dyDescent="0.3"/>
    <row r="815" s="25" customFormat="1" ht="12.75" customHeight="1" x14ac:dyDescent="0.3"/>
    <row r="816" s="25" customFormat="1" ht="12.75" customHeight="1" x14ac:dyDescent="0.3"/>
    <row r="817" s="25" customFormat="1" ht="12.75" customHeight="1" x14ac:dyDescent="0.3"/>
    <row r="818" s="25" customFormat="1" ht="12.75" customHeight="1" x14ac:dyDescent="0.3"/>
    <row r="819" s="25" customFormat="1" ht="12.75" customHeight="1" x14ac:dyDescent="0.3"/>
    <row r="820" s="25" customFormat="1" ht="12.75" customHeight="1" x14ac:dyDescent="0.3"/>
    <row r="821" s="25" customFormat="1" ht="12.75" customHeight="1" x14ac:dyDescent="0.3"/>
    <row r="822" s="25" customFormat="1" ht="12.75" customHeight="1" x14ac:dyDescent="0.3"/>
    <row r="823" s="25" customFormat="1" ht="12.75" customHeight="1" x14ac:dyDescent="0.3"/>
    <row r="824" s="25" customFormat="1" ht="12.75" customHeight="1" x14ac:dyDescent="0.3"/>
    <row r="825" s="25" customFormat="1" ht="12.75" customHeight="1" x14ac:dyDescent="0.3"/>
    <row r="826" s="25" customFormat="1" ht="12.75" customHeight="1" x14ac:dyDescent="0.3"/>
    <row r="827" s="25" customFormat="1" ht="12.75" customHeight="1" x14ac:dyDescent="0.3"/>
    <row r="828" s="25" customFormat="1" ht="12.75" customHeight="1" x14ac:dyDescent="0.3"/>
    <row r="829" s="25" customFormat="1" ht="12.75" customHeight="1" x14ac:dyDescent="0.3"/>
    <row r="830" s="25" customFormat="1" ht="12.75" customHeight="1" x14ac:dyDescent="0.3"/>
    <row r="831" s="25" customFormat="1" ht="12.75" customHeight="1" x14ac:dyDescent="0.3"/>
    <row r="832" s="25" customFormat="1" ht="12.75" customHeight="1" x14ac:dyDescent="0.3"/>
    <row r="833" s="25" customFormat="1" ht="12.75" customHeight="1" x14ac:dyDescent="0.3"/>
    <row r="834" s="25" customFormat="1" ht="12.75" customHeight="1" x14ac:dyDescent="0.3"/>
    <row r="835" s="25" customFormat="1" ht="12.75" customHeight="1" x14ac:dyDescent="0.3"/>
    <row r="836" s="25" customFormat="1" ht="12.75" customHeight="1" x14ac:dyDescent="0.3"/>
    <row r="837" s="25" customFormat="1" ht="12.75" customHeight="1" x14ac:dyDescent="0.3"/>
    <row r="838" s="25" customFormat="1" ht="12.75" customHeight="1" x14ac:dyDescent="0.3"/>
    <row r="839" s="25" customFormat="1" ht="12.75" customHeight="1" x14ac:dyDescent="0.3"/>
    <row r="840" s="25" customFormat="1" ht="12.75" customHeight="1" x14ac:dyDescent="0.3"/>
    <row r="841" s="25" customFormat="1" ht="12.75" customHeight="1" x14ac:dyDescent="0.3"/>
    <row r="842" s="25" customFormat="1" ht="12.75" customHeight="1" x14ac:dyDescent="0.3"/>
    <row r="843" s="25" customFormat="1" ht="12.75" customHeight="1" x14ac:dyDescent="0.3"/>
    <row r="844" s="25" customFormat="1" ht="12.75" customHeight="1" x14ac:dyDescent="0.3"/>
    <row r="845" s="25" customFormat="1" ht="12.75" customHeight="1" x14ac:dyDescent="0.3"/>
    <row r="846" s="25" customFormat="1" ht="12.75" customHeight="1" x14ac:dyDescent="0.3"/>
    <row r="847" s="25" customFormat="1" ht="12.75" customHeight="1" x14ac:dyDescent="0.3"/>
    <row r="848" s="25" customFormat="1" ht="12.75" customHeight="1" x14ac:dyDescent="0.3"/>
    <row r="849" s="25" customFormat="1" ht="12.75" customHeight="1" x14ac:dyDescent="0.3"/>
    <row r="850" s="25" customFormat="1" ht="12.75" customHeight="1" x14ac:dyDescent="0.3"/>
    <row r="851" s="25" customFormat="1" ht="12.75" customHeight="1" x14ac:dyDescent="0.3"/>
    <row r="852" s="25" customFormat="1" ht="12.75" customHeight="1" x14ac:dyDescent="0.3"/>
    <row r="853" s="25" customFormat="1" ht="12.75" customHeight="1" x14ac:dyDescent="0.3"/>
    <row r="854" s="25" customFormat="1" ht="12.75" customHeight="1" x14ac:dyDescent="0.3"/>
    <row r="855" s="25" customFormat="1" ht="12.75" customHeight="1" x14ac:dyDescent="0.3"/>
    <row r="856" s="25" customFormat="1" ht="12.75" customHeight="1" x14ac:dyDescent="0.3"/>
    <row r="857" s="25" customFormat="1" ht="12.75" customHeight="1" x14ac:dyDescent="0.3"/>
    <row r="858" s="25" customFormat="1" ht="12.75" customHeight="1" x14ac:dyDescent="0.3"/>
    <row r="859" s="25" customFormat="1" ht="12.75" customHeight="1" x14ac:dyDescent="0.3"/>
    <row r="860" s="25" customFormat="1" ht="12.75" customHeight="1" x14ac:dyDescent="0.3"/>
    <row r="861" s="25" customFormat="1" ht="12.75" customHeight="1" x14ac:dyDescent="0.3"/>
    <row r="862" s="25" customFormat="1" ht="12.75" customHeight="1" x14ac:dyDescent="0.3"/>
    <row r="863" s="25" customFormat="1" ht="12.75" customHeight="1" x14ac:dyDescent="0.3"/>
    <row r="864" s="25" customFormat="1" ht="12.75" customHeight="1" x14ac:dyDescent="0.3"/>
    <row r="865" s="25" customFormat="1" ht="12.75" customHeight="1" x14ac:dyDescent="0.3"/>
    <row r="866" s="25" customFormat="1" ht="12.75" customHeight="1" x14ac:dyDescent="0.3"/>
    <row r="867" s="25" customFormat="1" ht="12.75" customHeight="1" x14ac:dyDescent="0.3"/>
    <row r="868" s="25" customFormat="1" ht="12.75" customHeight="1" x14ac:dyDescent="0.3"/>
    <row r="869" s="25" customFormat="1" ht="12.75" customHeight="1" x14ac:dyDescent="0.3"/>
    <row r="870" s="25" customFormat="1" ht="12.75" customHeight="1" x14ac:dyDescent="0.3"/>
    <row r="871" s="25" customFormat="1" ht="12.75" customHeight="1" x14ac:dyDescent="0.3"/>
    <row r="872" s="25" customFormat="1" ht="12.75" customHeight="1" x14ac:dyDescent="0.3"/>
    <row r="873" s="25" customFormat="1" ht="12.75" customHeight="1" x14ac:dyDescent="0.3"/>
    <row r="874" s="25" customFormat="1" ht="12.75" customHeight="1" x14ac:dyDescent="0.3"/>
    <row r="875" s="25" customFormat="1" ht="12.75" customHeight="1" x14ac:dyDescent="0.3"/>
    <row r="876" s="25" customFormat="1" ht="12.75" customHeight="1" x14ac:dyDescent="0.3"/>
    <row r="877" s="25" customFormat="1" ht="12.75" customHeight="1" x14ac:dyDescent="0.3"/>
    <row r="878" s="25" customFormat="1" ht="12.75" customHeight="1" x14ac:dyDescent="0.3"/>
    <row r="879" s="25" customFormat="1" ht="12.75" customHeight="1" x14ac:dyDescent="0.3"/>
    <row r="880" s="25" customFormat="1" ht="12.75" customHeight="1" x14ac:dyDescent="0.3"/>
    <row r="881" s="25" customFormat="1" ht="12.75" customHeight="1" x14ac:dyDescent="0.3"/>
    <row r="882" s="25" customFormat="1" ht="12.75" customHeight="1" x14ac:dyDescent="0.3"/>
    <row r="883" s="25" customFormat="1" ht="12.75" customHeight="1" x14ac:dyDescent="0.3"/>
    <row r="884" s="25" customFormat="1" ht="12.75" customHeight="1" x14ac:dyDescent="0.3"/>
    <row r="885" s="25" customFormat="1" ht="12.75" customHeight="1" x14ac:dyDescent="0.3"/>
    <row r="886" s="25" customFormat="1" ht="12.75" customHeight="1" x14ac:dyDescent="0.3"/>
    <row r="887" s="25" customFormat="1" ht="12.75" customHeight="1" x14ac:dyDescent="0.3"/>
    <row r="888" s="25" customFormat="1" ht="12.75" customHeight="1" x14ac:dyDescent="0.3"/>
    <row r="889" s="25" customFormat="1" ht="12.75" customHeight="1" x14ac:dyDescent="0.3"/>
    <row r="890" s="25" customFormat="1" ht="12.75" customHeight="1" x14ac:dyDescent="0.3"/>
    <row r="891" s="25" customFormat="1" ht="12.75" customHeight="1" x14ac:dyDescent="0.3"/>
    <row r="892" s="25" customFormat="1" ht="12.75" customHeight="1" x14ac:dyDescent="0.3"/>
    <row r="893" s="25" customFormat="1" ht="12.75" customHeight="1" x14ac:dyDescent="0.3"/>
    <row r="894" s="25" customFormat="1" ht="12.75" customHeight="1" x14ac:dyDescent="0.3"/>
    <row r="895" s="25" customFormat="1" ht="12.75" customHeight="1" x14ac:dyDescent="0.3"/>
    <row r="896" s="25" customFormat="1" ht="12.75" customHeight="1" x14ac:dyDescent="0.3"/>
    <row r="897" s="25" customFormat="1" ht="12.75" customHeight="1" x14ac:dyDescent="0.3"/>
    <row r="898" s="25" customFormat="1" ht="12.75" customHeight="1" x14ac:dyDescent="0.3"/>
    <row r="899" s="25" customFormat="1" ht="12.75" customHeight="1" x14ac:dyDescent="0.3"/>
    <row r="900" s="25" customFormat="1" ht="12.75" customHeight="1" x14ac:dyDescent="0.3"/>
    <row r="901" s="25" customFormat="1" ht="12.75" customHeight="1" x14ac:dyDescent="0.3"/>
    <row r="902" s="25" customFormat="1" ht="12.75" customHeight="1" x14ac:dyDescent="0.3"/>
    <row r="903" s="25" customFormat="1" ht="12.75" customHeight="1" x14ac:dyDescent="0.3"/>
    <row r="904" s="25" customFormat="1" ht="12.75" customHeight="1" x14ac:dyDescent="0.3"/>
    <row r="905" s="25" customFormat="1" ht="12.75" customHeight="1" x14ac:dyDescent="0.3"/>
    <row r="906" s="25" customFormat="1" ht="12.75" customHeight="1" x14ac:dyDescent="0.3"/>
    <row r="907" s="25" customFormat="1" ht="12.75" customHeight="1" x14ac:dyDescent="0.3"/>
    <row r="908" s="25" customFormat="1" ht="12.75" customHeight="1" x14ac:dyDescent="0.3"/>
    <row r="909" s="25" customFormat="1" ht="12.75" customHeight="1" x14ac:dyDescent="0.3"/>
    <row r="910" s="25" customFormat="1" ht="12.75" customHeight="1" x14ac:dyDescent="0.3"/>
    <row r="911" s="25" customFormat="1" ht="12.75" customHeight="1" x14ac:dyDescent="0.3"/>
    <row r="912" s="25" customFormat="1" ht="12.75" customHeight="1" x14ac:dyDescent="0.3"/>
    <row r="913" s="25" customFormat="1" ht="12.75" customHeight="1" x14ac:dyDescent="0.3"/>
    <row r="914" s="25" customFormat="1" ht="12.75" customHeight="1" x14ac:dyDescent="0.3"/>
    <row r="915" s="25" customFormat="1" ht="12.75" customHeight="1" x14ac:dyDescent="0.3"/>
    <row r="916" s="25" customFormat="1" ht="12.75" customHeight="1" x14ac:dyDescent="0.3"/>
    <row r="917" s="25" customFormat="1" ht="12.75" customHeight="1" x14ac:dyDescent="0.3"/>
    <row r="918" s="25" customFormat="1" ht="12.75" customHeight="1" x14ac:dyDescent="0.3"/>
    <row r="919" s="25" customFormat="1" ht="12.75" customHeight="1" x14ac:dyDescent="0.3"/>
    <row r="920" s="25" customFormat="1" ht="12.75" customHeight="1" x14ac:dyDescent="0.3"/>
    <row r="921" s="25" customFormat="1" ht="12.75" customHeight="1" x14ac:dyDescent="0.3"/>
    <row r="922" s="25" customFormat="1" ht="12.75" customHeight="1" x14ac:dyDescent="0.3"/>
    <row r="923" s="25" customFormat="1" ht="12.75" customHeight="1" x14ac:dyDescent="0.3"/>
    <row r="924" s="25" customFormat="1" ht="12.75" customHeight="1" x14ac:dyDescent="0.3"/>
    <row r="925" s="25" customFormat="1" ht="12.75" customHeight="1" x14ac:dyDescent="0.3"/>
    <row r="926" s="25" customFormat="1" ht="12.75" customHeight="1" x14ac:dyDescent="0.3"/>
    <row r="927" s="25" customFormat="1" ht="12.75" customHeight="1" x14ac:dyDescent="0.3"/>
    <row r="928" s="25" customFormat="1" ht="12.75" customHeight="1" x14ac:dyDescent="0.3"/>
    <row r="929" s="25" customFormat="1" ht="12.75" customHeight="1" x14ac:dyDescent="0.3"/>
    <row r="930" s="25" customFormat="1" ht="12.75" customHeight="1" x14ac:dyDescent="0.3"/>
    <row r="931" s="25" customFormat="1" ht="12.75" customHeight="1" x14ac:dyDescent="0.3"/>
    <row r="932" s="25" customFormat="1" ht="12.75" customHeight="1" x14ac:dyDescent="0.3"/>
    <row r="933" s="25" customFormat="1" ht="12.75" customHeight="1" x14ac:dyDescent="0.3"/>
    <row r="934" s="25" customFormat="1" ht="12.75" customHeight="1" x14ac:dyDescent="0.3"/>
    <row r="935" s="25" customFormat="1" ht="12.75" customHeight="1" x14ac:dyDescent="0.3"/>
    <row r="936" s="25" customFormat="1" ht="12.75" customHeight="1" x14ac:dyDescent="0.3"/>
    <row r="937" s="25" customFormat="1" ht="12.75" customHeight="1" x14ac:dyDescent="0.3"/>
    <row r="938" s="25" customFormat="1" ht="12.75" customHeight="1" x14ac:dyDescent="0.3"/>
    <row r="939" s="25" customFormat="1" ht="12.75" customHeight="1" x14ac:dyDescent="0.3"/>
    <row r="940" s="25" customFormat="1" ht="12.75" customHeight="1" x14ac:dyDescent="0.3"/>
    <row r="941" s="25" customFormat="1" ht="12.75" customHeight="1" x14ac:dyDescent="0.3"/>
    <row r="942" s="25" customFormat="1" ht="12.75" customHeight="1" x14ac:dyDescent="0.3"/>
    <row r="943" s="25" customFormat="1" ht="12.75" customHeight="1" x14ac:dyDescent="0.3"/>
    <row r="944" s="25" customFormat="1" ht="12.75" customHeight="1" x14ac:dyDescent="0.3"/>
    <row r="945" s="25" customFormat="1" ht="12.75" customHeight="1" x14ac:dyDescent="0.3"/>
    <row r="946" s="25" customFormat="1" ht="12.75" customHeight="1" x14ac:dyDescent="0.3"/>
    <row r="947" s="25" customFormat="1" ht="12.75" customHeight="1" x14ac:dyDescent="0.3"/>
    <row r="948" s="25" customFormat="1" ht="12.75" customHeight="1" x14ac:dyDescent="0.3"/>
    <row r="949" s="25" customFormat="1" ht="12.75" customHeight="1" x14ac:dyDescent="0.3"/>
    <row r="950" s="25" customFormat="1" ht="12.75" customHeight="1" x14ac:dyDescent="0.3"/>
    <row r="951" s="25" customFormat="1" ht="12.75" customHeight="1" x14ac:dyDescent="0.3"/>
    <row r="952" s="25" customFormat="1" ht="12.75" customHeight="1" x14ac:dyDescent="0.3"/>
    <row r="953" s="25" customFormat="1" ht="12.75" customHeight="1" x14ac:dyDescent="0.3"/>
    <row r="954" s="25" customFormat="1" ht="12.75" customHeight="1" x14ac:dyDescent="0.3"/>
    <row r="955" s="25" customFormat="1" ht="12.75" customHeight="1" x14ac:dyDescent="0.3"/>
    <row r="956" s="25" customFormat="1" ht="12.75" customHeight="1" x14ac:dyDescent="0.3"/>
    <row r="957" s="25" customFormat="1" ht="12.75" customHeight="1" x14ac:dyDescent="0.3"/>
    <row r="958" s="25" customFormat="1" ht="12.75" customHeight="1" x14ac:dyDescent="0.3"/>
    <row r="959" s="25" customFormat="1" ht="12.75" customHeight="1" x14ac:dyDescent="0.3"/>
    <row r="960" s="25" customFormat="1" ht="12.75" customHeight="1" x14ac:dyDescent="0.3"/>
    <row r="961" s="25" customFormat="1" ht="12.75" customHeight="1" x14ac:dyDescent="0.3"/>
    <row r="962" s="25" customFormat="1" ht="12.75" customHeight="1" x14ac:dyDescent="0.3"/>
    <row r="963" s="25" customFormat="1" ht="12.75" customHeight="1" x14ac:dyDescent="0.3"/>
    <row r="964" s="25" customFormat="1" ht="12.75" customHeight="1" x14ac:dyDescent="0.3"/>
    <row r="965" s="25" customFormat="1" ht="12.75" customHeight="1" x14ac:dyDescent="0.3"/>
    <row r="966" s="25" customFormat="1" ht="12.75" customHeight="1" x14ac:dyDescent="0.3"/>
    <row r="967" s="25" customFormat="1" ht="12.75" customHeight="1" x14ac:dyDescent="0.3"/>
    <row r="968" s="25" customFormat="1" ht="12.75" customHeight="1" x14ac:dyDescent="0.3"/>
    <row r="969" s="25" customFormat="1" ht="12.75" customHeight="1" x14ac:dyDescent="0.3"/>
    <row r="970" s="25" customFormat="1" ht="12.75" customHeight="1" x14ac:dyDescent="0.3"/>
    <row r="971" s="25" customFormat="1" ht="12.75" customHeight="1" x14ac:dyDescent="0.3"/>
    <row r="972" s="25" customFormat="1" ht="12.75" customHeight="1" x14ac:dyDescent="0.3"/>
    <row r="973" s="25" customFormat="1" ht="12.75" customHeight="1" x14ac:dyDescent="0.3"/>
    <row r="974" s="25" customFormat="1" ht="12.75" customHeight="1" x14ac:dyDescent="0.3"/>
    <row r="975" s="25" customFormat="1" ht="12.75" customHeight="1" x14ac:dyDescent="0.3"/>
    <row r="976" s="25" customFormat="1" ht="12.75" customHeight="1" x14ac:dyDescent="0.3"/>
    <row r="977" s="25" customFormat="1" ht="12.75" customHeight="1" x14ac:dyDescent="0.3"/>
    <row r="978" s="25" customFormat="1" ht="12.75" customHeight="1" x14ac:dyDescent="0.3"/>
    <row r="979" s="25" customFormat="1" ht="12.75" customHeight="1" x14ac:dyDescent="0.3"/>
    <row r="980" s="25" customFormat="1" ht="12.75" customHeight="1" x14ac:dyDescent="0.3"/>
    <row r="981" s="25" customFormat="1" ht="12.75" customHeight="1" x14ac:dyDescent="0.3"/>
    <row r="982" s="25" customFormat="1" ht="12.75" customHeight="1" x14ac:dyDescent="0.3"/>
    <row r="983" s="25" customFormat="1" ht="12.75" customHeight="1" x14ac:dyDescent="0.3"/>
    <row r="984" s="25" customFormat="1" ht="12.75" customHeight="1" x14ac:dyDescent="0.3"/>
    <row r="985" s="25" customFormat="1" ht="12.75" customHeight="1" x14ac:dyDescent="0.3"/>
    <row r="986" s="25" customFormat="1" ht="12.75" customHeight="1" x14ac:dyDescent="0.3"/>
    <row r="987" s="25" customFormat="1" ht="12.75" customHeight="1" x14ac:dyDescent="0.3"/>
    <row r="988" s="25" customFormat="1" ht="12.75" customHeight="1" x14ac:dyDescent="0.3"/>
    <row r="989" s="25" customFormat="1" ht="12.75" customHeight="1" x14ac:dyDescent="0.3"/>
    <row r="990" s="25" customFormat="1" ht="12.75" customHeight="1" x14ac:dyDescent="0.3"/>
    <row r="991" s="25" customFormat="1" ht="12.75" customHeight="1" x14ac:dyDescent="0.3"/>
    <row r="992" s="25" customFormat="1" ht="12.75" customHeight="1" x14ac:dyDescent="0.3"/>
    <row r="993" s="25" customFormat="1" ht="12.75" customHeight="1" x14ac:dyDescent="0.3"/>
    <row r="994" s="25" customFormat="1" ht="12.75" customHeight="1" x14ac:dyDescent="0.3"/>
    <row r="995" s="25" customFormat="1" ht="12.75" customHeight="1" x14ac:dyDescent="0.3"/>
    <row r="996" s="25" customFormat="1" ht="12.75" customHeight="1" x14ac:dyDescent="0.3"/>
    <row r="997" s="25" customFormat="1" ht="12.75" customHeight="1" x14ac:dyDescent="0.3"/>
    <row r="998" s="25" customFormat="1" ht="12.75" customHeight="1" x14ac:dyDescent="0.3"/>
    <row r="999" s="25" customFormat="1" ht="12.75" customHeight="1" x14ac:dyDescent="0.3"/>
    <row r="1000" s="25" customFormat="1" ht="12.75" customHeight="1" x14ac:dyDescent="0.3"/>
  </sheetData>
  <mergeCells count="3">
    <mergeCell ref="B1:L1"/>
    <mergeCell ref="B3:F3"/>
    <mergeCell ref="H3:L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C5B2-621A-466B-A97A-B70EC9BF0EFB}">
  <dimension ref="A1:AY63"/>
  <sheetViews>
    <sheetView tabSelected="1" topLeftCell="A6" workbookViewId="0">
      <selection activeCell="L10" sqref="L10"/>
    </sheetView>
  </sheetViews>
  <sheetFormatPr defaultRowHeight="13.2" x14ac:dyDescent="0.25"/>
  <cols>
    <col min="2" max="2" width="6" customWidth="1"/>
    <col min="3" max="3" width="18.6640625" customWidth="1"/>
    <col min="4" max="4" width="19.33203125" customWidth="1"/>
    <col min="5" max="5" width="18.5546875" customWidth="1"/>
    <col min="6" max="6" width="12.6640625" customWidth="1"/>
    <col min="7" max="7" width="13" customWidth="1"/>
    <col min="16" max="16" width="18.88671875" customWidth="1"/>
    <col min="17" max="17" width="29.5546875" customWidth="1"/>
  </cols>
  <sheetData>
    <row r="1" spans="1:51" ht="13.8" x14ac:dyDescent="0.2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row>
    <row r="2" spans="1:51" ht="13.8" x14ac:dyDescent="0.2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row>
    <row r="3" spans="1:51" ht="41.4" x14ac:dyDescent="0.25">
      <c r="A3" s="45"/>
      <c r="B3" s="55"/>
      <c r="C3" s="55"/>
      <c r="D3" s="70" t="s">
        <v>37</v>
      </c>
      <c r="E3" s="70" t="s">
        <v>27</v>
      </c>
      <c r="F3" s="71" t="s">
        <v>50</v>
      </c>
      <c r="G3" s="71" t="s">
        <v>51</v>
      </c>
      <c r="H3" s="70" t="s">
        <v>38</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row>
    <row r="4" spans="1:51" ht="13.8" x14ac:dyDescent="0.25">
      <c r="A4" s="45"/>
      <c r="B4" s="55"/>
      <c r="C4" s="55"/>
      <c r="D4" s="51">
        <v>1</v>
      </c>
      <c r="E4" s="52" t="s">
        <v>39</v>
      </c>
      <c r="F4" s="53">
        <f>RSI!D62</f>
        <v>0.45217391304347826</v>
      </c>
      <c r="G4" s="53">
        <f>RSI!D63</f>
        <v>0.54782608695652169</v>
      </c>
      <c r="H4" s="51">
        <f t="shared" ref="H4:H13" si="0">_xlfn.RANK.EQ(F4, $F$4:$F$13, 0)</f>
        <v>7</v>
      </c>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row>
    <row r="5" spans="1:51" ht="13.8" x14ac:dyDescent="0.25">
      <c r="A5" s="45"/>
      <c r="B5" s="55"/>
      <c r="C5" s="55"/>
      <c r="D5" s="51">
        <v>2</v>
      </c>
      <c r="E5" s="52" t="s">
        <v>40</v>
      </c>
      <c r="F5" s="53">
        <f>Supertrend!D62</f>
        <v>0.43789808917197454</v>
      </c>
      <c r="G5" s="53">
        <f>Supertrend!D63</f>
        <v>0.56210191082802541</v>
      </c>
      <c r="H5" s="51">
        <f t="shared" si="0"/>
        <v>8</v>
      </c>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row>
    <row r="6" spans="1:51" ht="13.8" x14ac:dyDescent="0.25">
      <c r="A6" s="45"/>
      <c r="B6" s="55"/>
      <c r="C6" s="55"/>
      <c r="D6" s="51">
        <v>3</v>
      </c>
      <c r="E6" s="52" t="s">
        <v>41</v>
      </c>
      <c r="F6" s="53">
        <f>MA!D62</f>
        <v>0.47506822128504095</v>
      </c>
      <c r="G6" s="53">
        <f>MA!D63</f>
        <v>0.524931778714959</v>
      </c>
      <c r="H6" s="51">
        <f t="shared" si="0"/>
        <v>4</v>
      </c>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row>
    <row r="7" spans="1:51" ht="13.8" x14ac:dyDescent="0.25">
      <c r="A7" s="45"/>
      <c r="B7" s="55"/>
      <c r="C7" s="55"/>
      <c r="D7" s="51">
        <v>4</v>
      </c>
      <c r="E7" s="52" t="s">
        <v>42</v>
      </c>
      <c r="F7" s="53">
        <f>VWAP!D62</f>
        <v>0.43064413265306123</v>
      </c>
      <c r="G7" s="53">
        <f>VWAP!D63</f>
        <v>0.56935586734693877</v>
      </c>
      <c r="H7" s="51">
        <f t="shared" si="0"/>
        <v>10</v>
      </c>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row>
    <row r="8" spans="1:51" ht="13.8" x14ac:dyDescent="0.25">
      <c r="A8" s="45"/>
      <c r="B8" s="55"/>
      <c r="C8" s="55"/>
      <c r="D8" s="51">
        <v>5</v>
      </c>
      <c r="E8" s="52" t="s">
        <v>43</v>
      </c>
      <c r="F8" s="53">
        <f>MACD!D62</f>
        <v>0.43671556026009373</v>
      </c>
      <c r="G8" s="53">
        <f>MACD!D63</f>
        <v>0.56328443973990627</v>
      </c>
      <c r="H8" s="51">
        <f t="shared" si="0"/>
        <v>9</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row>
    <row r="9" spans="1:51" ht="13.8" x14ac:dyDescent="0.25">
      <c r="A9" s="45"/>
      <c r="B9" s="55"/>
      <c r="C9" s="55"/>
      <c r="D9" s="51">
        <v>6</v>
      </c>
      <c r="E9" s="52" t="s">
        <v>44</v>
      </c>
      <c r="F9" s="53">
        <f>'Stochastic RSI'!D62</f>
        <v>0.50554808338937463</v>
      </c>
      <c r="G9" s="53">
        <f>'Stochastic RSI'!D63</f>
        <v>0.49445191661062537</v>
      </c>
      <c r="H9" s="51">
        <f t="shared" si="0"/>
        <v>1</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row>
    <row r="10" spans="1:51" ht="13.8" x14ac:dyDescent="0.25">
      <c r="A10" s="45"/>
      <c r="B10" s="55"/>
      <c r="C10" s="55"/>
      <c r="D10" s="51">
        <v>7</v>
      </c>
      <c r="E10" s="52" t="s">
        <v>45</v>
      </c>
      <c r="F10" s="53">
        <f>PP!D62</f>
        <v>0.45589600742804087</v>
      </c>
      <c r="G10" s="53">
        <f>PP!D63</f>
        <v>0.54410399257195907</v>
      </c>
      <c r="H10" s="51">
        <f t="shared" si="0"/>
        <v>6</v>
      </c>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row>
    <row r="11" spans="1:51" ht="13.8" x14ac:dyDescent="0.25">
      <c r="A11" s="45"/>
      <c r="B11" s="55"/>
      <c r="C11" s="55"/>
      <c r="D11" s="51">
        <v>8</v>
      </c>
      <c r="E11" s="52" t="s">
        <v>46</v>
      </c>
      <c r="F11" s="53">
        <f>Awesome!D62</f>
        <v>0.47667999238530362</v>
      </c>
      <c r="G11" s="53">
        <f>Awesome!D63</f>
        <v>0.52332000761469644</v>
      </c>
      <c r="H11" s="51">
        <f t="shared" si="0"/>
        <v>3</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row>
    <row r="12" spans="1:51" ht="13.8" x14ac:dyDescent="0.25">
      <c r="A12" s="45"/>
      <c r="B12" s="55"/>
      <c r="C12" s="55"/>
      <c r="D12" s="51">
        <v>9</v>
      </c>
      <c r="E12" s="52" t="s">
        <v>47</v>
      </c>
      <c r="F12" s="53">
        <f>Bollinger!D62</f>
        <v>0.46023138105567607</v>
      </c>
      <c r="G12" s="53">
        <f>Bollinger!D63</f>
        <v>0.53976861894432393</v>
      </c>
      <c r="H12" s="51">
        <f t="shared" si="0"/>
        <v>5</v>
      </c>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row>
    <row r="13" spans="1:51" ht="13.8" x14ac:dyDescent="0.25">
      <c r="A13" s="45"/>
      <c r="B13" s="55"/>
      <c r="C13" s="55"/>
      <c r="D13" s="51">
        <v>10</v>
      </c>
      <c r="E13" s="52" t="s">
        <v>48</v>
      </c>
      <c r="F13" s="53">
        <f>CP!D62</f>
        <v>0.48679638637943018</v>
      </c>
      <c r="G13" s="53">
        <f>CP!D63</f>
        <v>0.51320361362056977</v>
      </c>
      <c r="H13" s="51">
        <f t="shared" si="0"/>
        <v>2</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row>
    <row r="14" spans="1:51" ht="13.8" x14ac:dyDescent="0.25">
      <c r="A14" s="45"/>
      <c r="B14" s="54"/>
      <c r="C14" s="72" t="s">
        <v>49</v>
      </c>
      <c r="D14" s="58"/>
      <c r="E14" s="58"/>
      <c r="F14" s="58"/>
      <c r="G14" s="58"/>
      <c r="H14" s="58"/>
      <c r="I14" s="58"/>
      <c r="J14" s="58"/>
      <c r="K14" s="58"/>
      <c r="L14" s="58"/>
      <c r="M14" s="58"/>
      <c r="N14" s="58"/>
      <c r="O14" s="58"/>
      <c r="P14" s="58"/>
      <c r="Q14" s="57"/>
      <c r="R14" s="57"/>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row>
    <row r="15" spans="1:51" ht="13.8" x14ac:dyDescent="0.25">
      <c r="A15" s="45"/>
      <c r="B15" s="55"/>
      <c r="C15" s="58"/>
      <c r="D15" s="58"/>
      <c r="E15" s="58"/>
      <c r="F15" s="58"/>
      <c r="G15" s="58"/>
      <c r="H15" s="58"/>
      <c r="I15" s="58"/>
      <c r="J15" s="58"/>
      <c r="K15" s="58"/>
      <c r="L15" s="58"/>
      <c r="M15" s="58"/>
      <c r="N15" s="58"/>
      <c r="O15" s="58"/>
      <c r="P15" s="58"/>
      <c r="Q15" s="57"/>
      <c r="R15" s="57"/>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row>
    <row r="16" spans="1:51" ht="13.8" x14ac:dyDescent="0.25">
      <c r="A16" s="45"/>
      <c r="B16" s="54"/>
      <c r="C16" s="58"/>
      <c r="D16" s="58"/>
      <c r="E16" s="58"/>
      <c r="F16" s="58"/>
      <c r="G16" s="58"/>
      <c r="H16" s="58"/>
      <c r="I16" s="58"/>
      <c r="J16" s="58"/>
      <c r="K16" s="58"/>
      <c r="L16" s="58"/>
      <c r="M16" s="58"/>
      <c r="N16" s="58"/>
      <c r="O16" s="58"/>
      <c r="P16" s="58"/>
      <c r="Q16" s="57"/>
      <c r="R16" s="57"/>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row>
    <row r="17" spans="1:51" ht="13.8" x14ac:dyDescent="0.25">
      <c r="A17" s="45"/>
      <c r="B17" s="55"/>
      <c r="C17" s="58"/>
      <c r="D17" s="58"/>
      <c r="E17" s="58"/>
      <c r="F17" s="58"/>
      <c r="G17" s="58"/>
      <c r="H17" s="58"/>
      <c r="I17" s="58"/>
      <c r="J17" s="58"/>
      <c r="K17" s="58"/>
      <c r="L17" s="58"/>
      <c r="M17" s="58"/>
      <c r="N17" s="58"/>
      <c r="O17" s="58"/>
      <c r="P17" s="58"/>
      <c r="Q17" s="57"/>
      <c r="R17" s="57"/>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row>
    <row r="18" spans="1:51" ht="13.8" x14ac:dyDescent="0.25">
      <c r="A18" s="45"/>
      <c r="B18" s="54"/>
      <c r="C18" s="58"/>
      <c r="D18" s="58"/>
      <c r="E18" s="58"/>
      <c r="F18" s="58"/>
      <c r="G18" s="58"/>
      <c r="H18" s="58"/>
      <c r="I18" s="58"/>
      <c r="J18" s="58"/>
      <c r="K18" s="58"/>
      <c r="L18" s="58"/>
      <c r="M18" s="58"/>
      <c r="N18" s="58"/>
      <c r="O18" s="58"/>
      <c r="P18" s="58"/>
      <c r="Q18" s="57"/>
      <c r="R18" s="57"/>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row>
    <row r="19" spans="1:51" ht="13.8" x14ac:dyDescent="0.25">
      <c r="A19" s="45"/>
      <c r="B19" s="55"/>
      <c r="C19" s="58"/>
      <c r="D19" s="58"/>
      <c r="E19" s="58"/>
      <c r="F19" s="58"/>
      <c r="G19" s="58"/>
      <c r="H19" s="58"/>
      <c r="I19" s="58"/>
      <c r="J19" s="58"/>
      <c r="K19" s="58"/>
      <c r="L19" s="58"/>
      <c r="M19" s="58"/>
      <c r="N19" s="58"/>
      <c r="O19" s="58"/>
      <c r="P19" s="58"/>
      <c r="Q19" s="57"/>
      <c r="R19" s="57"/>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row>
    <row r="20" spans="1:51" ht="13.8" x14ac:dyDescent="0.25">
      <c r="A20" s="45"/>
      <c r="B20" s="54"/>
      <c r="C20" s="58"/>
      <c r="D20" s="58"/>
      <c r="E20" s="58"/>
      <c r="F20" s="58"/>
      <c r="G20" s="58"/>
      <c r="H20" s="58"/>
      <c r="I20" s="58"/>
      <c r="J20" s="58"/>
      <c r="K20" s="58"/>
      <c r="L20" s="58"/>
      <c r="M20" s="58"/>
      <c r="N20" s="58"/>
      <c r="O20" s="58"/>
      <c r="P20" s="58"/>
      <c r="Q20" s="57"/>
      <c r="R20" s="57"/>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row>
    <row r="21" spans="1:51" ht="13.8" x14ac:dyDescent="0.25">
      <c r="A21" s="45"/>
      <c r="B21" s="55"/>
      <c r="C21" s="58"/>
      <c r="D21" s="58"/>
      <c r="E21" s="58"/>
      <c r="F21" s="58"/>
      <c r="G21" s="58"/>
      <c r="H21" s="58"/>
      <c r="I21" s="58"/>
      <c r="J21" s="58"/>
      <c r="K21" s="58"/>
      <c r="L21" s="58"/>
      <c r="M21" s="58"/>
      <c r="N21" s="58"/>
      <c r="O21" s="58"/>
      <c r="P21" s="58"/>
      <c r="Q21" s="57"/>
      <c r="R21" s="57"/>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row>
    <row r="22" spans="1:51" ht="13.8" x14ac:dyDescent="0.25">
      <c r="A22" s="45"/>
      <c r="B22" s="56"/>
      <c r="C22" s="58"/>
      <c r="D22" s="58"/>
      <c r="E22" s="58"/>
      <c r="F22" s="58"/>
      <c r="G22" s="58"/>
      <c r="H22" s="58"/>
      <c r="I22" s="58"/>
      <c r="J22" s="58"/>
      <c r="K22" s="58"/>
      <c r="L22" s="58"/>
      <c r="M22" s="58"/>
      <c r="N22" s="58"/>
      <c r="O22" s="58"/>
      <c r="P22" s="58"/>
      <c r="Q22" s="57"/>
      <c r="R22" s="57"/>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row>
    <row r="23" spans="1:51" ht="13.8" x14ac:dyDescent="0.25">
      <c r="A23" s="45"/>
      <c r="B23" s="55"/>
      <c r="C23" s="58"/>
      <c r="D23" s="58"/>
      <c r="E23" s="58"/>
      <c r="F23" s="58"/>
      <c r="G23" s="58"/>
      <c r="H23" s="58"/>
      <c r="I23" s="58"/>
      <c r="J23" s="58"/>
      <c r="K23" s="58"/>
      <c r="L23" s="58"/>
      <c r="M23" s="58"/>
      <c r="N23" s="58"/>
      <c r="O23" s="58"/>
      <c r="P23" s="58"/>
      <c r="Q23" s="57"/>
      <c r="R23" s="57"/>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row>
    <row r="24" spans="1:51" ht="13.8" x14ac:dyDescent="0.25">
      <c r="A24" s="45"/>
      <c r="B24" s="54"/>
      <c r="C24" s="58"/>
      <c r="D24" s="58"/>
      <c r="E24" s="58"/>
      <c r="F24" s="58"/>
      <c r="G24" s="58"/>
      <c r="H24" s="58"/>
      <c r="I24" s="58"/>
      <c r="J24" s="58"/>
      <c r="K24" s="58"/>
      <c r="L24" s="58"/>
      <c r="M24" s="58"/>
      <c r="N24" s="58"/>
      <c r="O24" s="58"/>
      <c r="P24" s="58"/>
      <c r="Q24" s="57"/>
      <c r="R24" s="57"/>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row>
    <row r="25" spans="1:51" ht="13.8" x14ac:dyDescent="0.25">
      <c r="A25" s="45"/>
      <c r="B25" s="45"/>
      <c r="C25" s="58"/>
      <c r="D25" s="58"/>
      <c r="E25" s="58"/>
      <c r="F25" s="58"/>
      <c r="G25" s="58"/>
      <c r="H25" s="58"/>
      <c r="I25" s="58"/>
      <c r="J25" s="58"/>
      <c r="K25" s="58"/>
      <c r="L25" s="58"/>
      <c r="M25" s="58"/>
      <c r="N25" s="58"/>
      <c r="O25" s="58"/>
      <c r="P25" s="58"/>
      <c r="Q25" s="57"/>
      <c r="R25" s="57"/>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row>
    <row r="26" spans="1:51" ht="13.8" x14ac:dyDescent="0.25">
      <c r="A26" s="45"/>
      <c r="B26" s="45"/>
      <c r="C26" s="58"/>
      <c r="D26" s="58"/>
      <c r="E26" s="58"/>
      <c r="F26" s="58"/>
      <c r="G26" s="58"/>
      <c r="H26" s="58"/>
      <c r="I26" s="58"/>
      <c r="J26" s="58"/>
      <c r="K26" s="58"/>
      <c r="L26" s="58"/>
      <c r="M26" s="58"/>
      <c r="N26" s="58"/>
      <c r="O26" s="58"/>
      <c r="P26" s="58"/>
      <c r="Q26" s="57"/>
      <c r="R26" s="57"/>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row>
    <row r="27" spans="1:51" ht="13.8" x14ac:dyDescent="0.25">
      <c r="A27" s="45"/>
      <c r="B27" s="45"/>
      <c r="C27" s="58"/>
      <c r="D27" s="58"/>
      <c r="E27" s="58"/>
      <c r="F27" s="58"/>
      <c r="G27" s="58"/>
      <c r="H27" s="58"/>
      <c r="I27" s="58"/>
      <c r="J27" s="58"/>
      <c r="K27" s="58"/>
      <c r="L27" s="58"/>
      <c r="M27" s="58"/>
      <c r="N27" s="58"/>
      <c r="O27" s="58"/>
      <c r="P27" s="58"/>
      <c r="Q27" s="57"/>
      <c r="R27" s="57"/>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row>
    <row r="28" spans="1:51" ht="13.8" x14ac:dyDescent="0.25">
      <c r="A28" s="45"/>
      <c r="B28" s="45"/>
      <c r="C28" s="58"/>
      <c r="D28" s="58"/>
      <c r="E28" s="58"/>
      <c r="F28" s="58"/>
      <c r="G28" s="58"/>
      <c r="H28" s="58"/>
      <c r="I28" s="58"/>
      <c r="J28" s="58"/>
      <c r="K28" s="58"/>
      <c r="L28" s="58"/>
      <c r="M28" s="58"/>
      <c r="N28" s="58"/>
      <c r="O28" s="58"/>
      <c r="P28" s="58"/>
      <c r="Q28" s="57"/>
      <c r="R28" s="57"/>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row>
    <row r="29" spans="1:51" ht="13.8" x14ac:dyDescent="0.25">
      <c r="A29" s="45"/>
      <c r="B29" s="45"/>
      <c r="C29" s="58"/>
      <c r="D29" s="58"/>
      <c r="E29" s="58"/>
      <c r="F29" s="58"/>
      <c r="G29" s="58"/>
      <c r="H29" s="58"/>
      <c r="I29" s="58"/>
      <c r="J29" s="58"/>
      <c r="K29" s="58"/>
      <c r="L29" s="58"/>
      <c r="M29" s="58"/>
      <c r="N29" s="58"/>
      <c r="O29" s="58"/>
      <c r="P29" s="58"/>
      <c r="Q29" s="57"/>
      <c r="R29" s="57"/>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row>
    <row r="30" spans="1:51" ht="13.8" x14ac:dyDescent="0.25">
      <c r="A30" s="45"/>
      <c r="B30" s="45"/>
      <c r="C30" s="58"/>
      <c r="D30" s="58"/>
      <c r="E30" s="58"/>
      <c r="F30" s="58"/>
      <c r="G30" s="58"/>
      <c r="H30" s="58"/>
      <c r="I30" s="58"/>
      <c r="J30" s="58"/>
      <c r="K30" s="58"/>
      <c r="L30" s="58"/>
      <c r="M30" s="58"/>
      <c r="N30" s="58"/>
      <c r="O30" s="58"/>
      <c r="P30" s="58"/>
      <c r="Q30" s="57"/>
      <c r="R30" s="57"/>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row>
    <row r="31" spans="1:51" ht="13.8" x14ac:dyDescent="0.25">
      <c r="A31" s="45"/>
      <c r="B31" s="45"/>
      <c r="C31" s="58"/>
      <c r="D31" s="58"/>
      <c r="E31" s="58"/>
      <c r="F31" s="58"/>
      <c r="G31" s="58"/>
      <c r="H31" s="58"/>
      <c r="I31" s="58"/>
      <c r="J31" s="58"/>
      <c r="K31" s="58"/>
      <c r="L31" s="58"/>
      <c r="M31" s="58"/>
      <c r="N31" s="58"/>
      <c r="O31" s="58"/>
      <c r="P31" s="58"/>
      <c r="Q31" s="57"/>
      <c r="R31" s="57"/>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row>
    <row r="32" spans="1:51" ht="13.8" x14ac:dyDescent="0.25">
      <c r="A32" s="45"/>
      <c r="B32" s="45"/>
      <c r="C32" s="57"/>
      <c r="D32" s="57"/>
      <c r="E32" s="57"/>
      <c r="F32" s="57"/>
      <c r="G32" s="57"/>
      <c r="H32" s="57"/>
      <c r="I32" s="57"/>
      <c r="J32" s="57"/>
      <c r="K32" s="57"/>
      <c r="L32" s="57"/>
      <c r="M32" s="57"/>
      <c r="N32" s="57"/>
      <c r="O32" s="57"/>
      <c r="P32" s="57"/>
      <c r="Q32" s="57"/>
      <c r="R32" s="57"/>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row>
    <row r="33" spans="1:51" ht="13.8" x14ac:dyDescent="0.25">
      <c r="A33" s="45"/>
      <c r="B33" s="45"/>
      <c r="C33" s="57"/>
      <c r="D33" s="57"/>
      <c r="E33" s="57"/>
      <c r="F33" s="57"/>
      <c r="G33" s="57"/>
      <c r="H33" s="57"/>
      <c r="I33" s="57"/>
      <c r="J33" s="57"/>
      <c r="K33" s="57"/>
      <c r="L33" s="57"/>
      <c r="M33" s="57"/>
      <c r="N33" s="57"/>
      <c r="O33" s="57"/>
      <c r="P33" s="57"/>
      <c r="Q33" s="57"/>
      <c r="R33" s="57"/>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row>
    <row r="34" spans="1:51" ht="13.8" x14ac:dyDescent="0.25">
      <c r="A34" s="45"/>
      <c r="B34" s="45"/>
      <c r="C34" s="57"/>
      <c r="D34" s="57"/>
      <c r="E34" s="57"/>
      <c r="F34" s="57"/>
      <c r="G34" s="57"/>
      <c r="H34" s="57"/>
      <c r="I34" s="50"/>
      <c r="J34" s="57"/>
      <c r="K34" s="57"/>
      <c r="L34" s="57"/>
      <c r="M34" s="57"/>
      <c r="N34" s="57"/>
      <c r="O34" s="57"/>
      <c r="P34" s="57"/>
      <c r="Q34" s="57"/>
      <c r="R34" s="57"/>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row>
    <row r="35" spans="1:51" ht="13.8" x14ac:dyDescent="0.25">
      <c r="A35" s="45"/>
      <c r="B35" s="45"/>
      <c r="C35" s="57"/>
      <c r="D35" s="57"/>
      <c r="E35" s="57"/>
      <c r="F35" s="57"/>
      <c r="G35" s="57"/>
      <c r="H35" s="57"/>
      <c r="I35" s="57"/>
      <c r="J35" s="57"/>
      <c r="K35" s="57"/>
      <c r="L35" s="57"/>
      <c r="M35" s="57"/>
      <c r="N35" s="57"/>
      <c r="O35" s="57"/>
      <c r="P35" s="57"/>
      <c r="Q35" s="57"/>
      <c r="R35" s="57"/>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row>
    <row r="36" spans="1:51" ht="13.8" x14ac:dyDescent="0.2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row>
    <row r="37" spans="1:51" ht="13.8" x14ac:dyDescent="0.2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row>
    <row r="38" spans="1:51" ht="13.8" x14ac:dyDescent="0.2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row>
    <row r="39" spans="1:51" ht="13.8" x14ac:dyDescent="0.2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row>
    <row r="40" spans="1:51" ht="13.8" x14ac:dyDescent="0.2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row>
    <row r="41" spans="1:51" ht="13.8" x14ac:dyDescent="0.2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row>
    <row r="42" spans="1:51" ht="13.8" x14ac:dyDescent="0.2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row>
    <row r="43" spans="1:51" ht="13.8" x14ac:dyDescent="0.2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row>
    <row r="44" spans="1:51" ht="13.8" x14ac:dyDescent="0.2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row>
    <row r="45" spans="1:51" ht="13.8" x14ac:dyDescent="0.2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row>
    <row r="46" spans="1:51" ht="13.8" x14ac:dyDescent="0.2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row>
    <row r="47" spans="1:51" ht="13.8" x14ac:dyDescent="0.2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row>
    <row r="48" spans="1:51" ht="13.8" x14ac:dyDescent="0.2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row>
    <row r="49" spans="1:51" ht="13.8" x14ac:dyDescent="0.2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row>
    <row r="50" spans="1:51" ht="13.8" x14ac:dyDescent="0.2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row>
    <row r="51" spans="1:51" ht="13.8" x14ac:dyDescent="0.2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row>
    <row r="52" spans="1:51" ht="13.8" x14ac:dyDescent="0.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row>
    <row r="53" spans="1:51" ht="13.8" x14ac:dyDescent="0.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row>
    <row r="54" spans="1:51" ht="13.8" x14ac:dyDescent="0.2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row>
    <row r="55" spans="1:51" ht="13.8" x14ac:dyDescent="0.2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row>
    <row r="56" spans="1:51" ht="13.8" x14ac:dyDescent="0.2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row>
    <row r="57" spans="1:51" ht="13.8" x14ac:dyDescent="0.2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row>
    <row r="58" spans="1:51" ht="13.8" x14ac:dyDescent="0.2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row>
    <row r="59" spans="1:51" ht="13.8" x14ac:dyDescent="0.2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row>
    <row r="60" spans="1:51" ht="13.8" x14ac:dyDescent="0.2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row>
    <row r="61" spans="1:51" ht="13.8" x14ac:dyDescent="0.2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row>
    <row r="62" spans="1:51" ht="13.8" x14ac:dyDescent="0.2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row>
    <row r="63" spans="1:51" ht="13.8" x14ac:dyDescent="0.2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row>
  </sheetData>
  <mergeCells count="1">
    <mergeCell ref="C14:P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RSI</vt:lpstr>
      <vt:lpstr>Supertrend</vt:lpstr>
      <vt:lpstr>MA</vt:lpstr>
      <vt:lpstr>VWAP</vt:lpstr>
      <vt:lpstr>MACD</vt:lpstr>
      <vt:lpstr>Stochastic RSI</vt:lpstr>
      <vt:lpstr>PP</vt:lpstr>
      <vt:lpstr>Awesome</vt:lpstr>
      <vt:lpstr>Bollinger</vt:lpstr>
      <vt:lpstr>CP</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Sayali Mhatre</cp:lastModifiedBy>
  <dcterms:modified xsi:type="dcterms:W3CDTF">2026-10-13T16:29:41Z</dcterms:modified>
</cp:coreProperties>
</file>